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IA JOSE\Pictures\"/>
    </mc:Choice>
  </mc:AlternateContent>
  <xr:revisionPtr revIDLastSave="0" documentId="13_ncr:1_{9201E7FB-095B-4B52-8FA7-761ACE30DB65}" xr6:coauthVersionLast="47" xr6:coauthVersionMax="47" xr10:uidLastSave="{00000000-0000-0000-0000-000000000000}"/>
  <bookViews>
    <workbookView xWindow="-120" yWindow="-120" windowWidth="20730" windowHeight="11760" activeTab="2" xr2:uid="{6E281B1C-2513-4A69-AE65-8968CE819039}"/>
  </bookViews>
  <sheets>
    <sheet name="README" sheetId="5" r:id="rId1"/>
    <sheet name="SKUS " sheetId="4" r:id="rId2"/>
    <sheet name="DATA " sheetId="2" r:id="rId3"/>
  </sheets>
  <definedNames>
    <definedName name="SKU_PARAMS1" localSheetId="2">'DATA '!$A$1:$U$101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4" l="1" a="1"/>
  <c r="R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9E2D5-E913-4C48-A144-3ABEA5A6AF8B}" name="SKU_PARAMS11" type="6" refreshedVersion="8" background="1" saveData="1">
    <textPr codePage="850" sourceFile="C:\Users\MARIA JOSE\Pictures\SKU_PARAMS1.csv" tab="0" comma="1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<sst xmlns="http://schemas.openxmlformats.org/spreadsheetml/2006/main" count="65" uniqueCount="63">
  <si>
    <t>at_risk</t>
  </si>
  <si>
    <t>TRUE</t>
  </si>
  <si>
    <t>Grand Total</t>
  </si>
  <si>
    <t>SUMMARY</t>
  </si>
  <si>
    <t xml:space="preserve">Total SKUs analysed </t>
  </si>
  <si>
    <t>SKUs at risk</t>
  </si>
  <si>
    <r>
      <t>Total</t>
    </r>
    <r>
      <rPr>
        <sz val="11"/>
        <color rgb="FFFF0000"/>
        <rFont val="Aptos Narrow"/>
        <family val="2"/>
        <scheme val="minor"/>
      </rPr>
      <t xml:space="preserve"> Revenue at risk</t>
    </r>
  </si>
  <si>
    <t>Top 10 SKUs share of revenue risk</t>
  </si>
  <si>
    <t>Most risky SKU</t>
  </si>
  <si>
    <t>PRODUCT ID</t>
  </si>
  <si>
    <t xml:space="preserve">PRODUCT ID </t>
  </si>
  <si>
    <t>Main cause of stockout risk</t>
  </si>
  <si>
    <t xml:space="preserve">Too low initial inventory </t>
  </si>
  <si>
    <t>INITIAL INVENTORY</t>
  </si>
  <si>
    <t>Recomendations</t>
  </si>
  <si>
    <r>
      <t xml:space="preserve">Respect the </t>
    </r>
    <r>
      <rPr>
        <sz val="11"/>
        <color rgb="FF0070C0"/>
        <rFont val="Aptos Narrow"/>
        <family val="2"/>
        <scheme val="minor"/>
      </rPr>
      <t>reorder points</t>
    </r>
  </si>
  <si>
    <r>
      <t xml:space="preserve">Inmediate </t>
    </r>
    <r>
      <rPr>
        <sz val="11"/>
        <color rgb="FF0070C0"/>
        <rFont val="Aptos Narrow"/>
        <family val="2"/>
        <scheme val="minor"/>
      </rPr>
      <t>replenishment</t>
    </r>
  </si>
  <si>
    <r>
      <t>Recalculate</t>
    </r>
    <r>
      <rPr>
        <sz val="11"/>
        <color rgb="FF0070C0"/>
        <rFont val="Aptos Narrow"/>
        <family val="2"/>
        <scheme val="minor"/>
      </rPr>
      <t xml:space="preserve"> EVERY SKU's initial inventory</t>
    </r>
  </si>
  <si>
    <t>RECALCULATED INITIAL INVENTORY</t>
  </si>
  <si>
    <t>INITIAL INVENTORY COMPARISON</t>
  </si>
  <si>
    <t>Difference</t>
  </si>
  <si>
    <r>
      <rPr>
        <b/>
        <sz val="11"/>
        <color theme="8" tint="-0.249977111117893"/>
        <rFont val="Aptos Narrow"/>
        <family val="2"/>
        <scheme val="minor"/>
      </rPr>
      <t>1019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(12%)</t>
    </r>
  </si>
  <si>
    <t>Total risky days out of sock</t>
  </si>
  <si>
    <t>Product ID</t>
  </si>
  <si>
    <t xml:space="preserve">Demand Volatility </t>
  </si>
  <si>
    <t xml:space="preserve">Units Sold </t>
  </si>
  <si>
    <t xml:space="preserve">Total Revenue </t>
  </si>
  <si>
    <t xml:space="preserve">Average Daily Demand </t>
  </si>
  <si>
    <t>Initial Inventory</t>
  </si>
  <si>
    <t>Lead Time (Days)</t>
  </si>
  <si>
    <t>Safety Stock</t>
  </si>
  <si>
    <t>ROP</t>
  </si>
  <si>
    <t xml:space="preserve">Coverage Days </t>
  </si>
  <si>
    <t>Risk flag</t>
  </si>
  <si>
    <t>ROP gap</t>
  </si>
  <si>
    <t xml:space="preserve">Stockout Days </t>
  </si>
  <si>
    <t>Demand in risk</t>
  </si>
  <si>
    <t>Average Price</t>
  </si>
  <si>
    <t>Revenue in Risk</t>
  </si>
  <si>
    <t xml:space="preserve">Average Daily Revenue </t>
  </si>
  <si>
    <t>Accumulate Pctg</t>
  </si>
  <si>
    <t xml:space="preserve">Optimised Initial Inventory </t>
  </si>
  <si>
    <t>Revenue in risk pctg</t>
  </si>
  <si>
    <t>Priority Score</t>
  </si>
  <si>
    <t>REVENUE IN RISK</t>
  </si>
  <si>
    <t>ROP GAP</t>
  </si>
  <si>
    <t>COVERAGE DAYS</t>
  </si>
  <si>
    <t>LEAD TIME (DAYS)</t>
  </si>
  <si>
    <t xml:space="preserve">DEMAND VOLATILITY </t>
  </si>
  <si>
    <t>PRIORITY SCORE</t>
  </si>
  <si>
    <t>SKUS STOCKOUT ANALYSIS</t>
  </si>
  <si>
    <t>RISK FLAG</t>
  </si>
  <si>
    <t xml:space="preserve">SKU STOCKOUT RISK ANALYSIS </t>
  </si>
  <si>
    <r>
      <rPr>
        <b/>
        <sz val="11"/>
        <color theme="1"/>
        <rFont val="Aptos Narrow"/>
        <family val="2"/>
        <scheme val="minor"/>
      </rPr>
      <t>Objective</t>
    </r>
    <r>
      <rPr>
        <sz val="11"/>
        <color theme="1"/>
        <rFont val="Aptos Narrow"/>
        <family val="2"/>
        <scheme val="minor"/>
      </rPr>
      <t xml:space="preserve">: Identify SKUs that are at high risk of stockout and estimate its financial (revenue) impact to prioratise inventory adjustments. </t>
    </r>
  </si>
  <si>
    <r>
      <rPr>
        <b/>
        <sz val="11"/>
        <color theme="1"/>
        <rFont val="Aptos Narrow"/>
        <family val="2"/>
        <scheme val="minor"/>
      </rPr>
      <t>Dataset:</t>
    </r>
    <r>
      <rPr>
        <sz val="11"/>
        <color theme="1"/>
        <rFont val="Aptos Narrow"/>
        <family val="2"/>
        <scheme val="minor"/>
      </rPr>
      <t xml:space="preserve"> Some comlumns are simulated. Such as: Lead time and initial inventory</t>
    </r>
  </si>
  <si>
    <t xml:space="preserve">Key KPIs: </t>
  </si>
  <si>
    <t xml:space="preserve">Revenue in risk: The estimated revenue that will be lost due to stockout. </t>
  </si>
  <si>
    <t>ROP gap: The difference between the initial inventory and the ROP (reorder point)</t>
  </si>
  <si>
    <t xml:space="preserve">Coverage days: Number of days an inventory can satisfy the demand. </t>
  </si>
  <si>
    <t>Lead time (Days): Number of days it takes the replenishment ot arrive-</t>
  </si>
  <si>
    <t xml:space="preserve">Priority score: Ranking metric for SKU prioritasation </t>
  </si>
  <si>
    <r>
      <t xml:space="preserve">Key Insight: </t>
    </r>
    <r>
      <rPr>
        <sz val="11"/>
        <color theme="1"/>
        <rFont val="Aptos Narrow"/>
        <family val="2"/>
        <scheme val="minor"/>
      </rPr>
      <t xml:space="preserve">Stockouts are caused by the low initial inventory relative to the ROP. This results in coverage way below the lead time and, eventually, in stockout. </t>
    </r>
  </si>
  <si>
    <r>
      <t xml:space="preserve">How to use: </t>
    </r>
    <r>
      <rPr>
        <sz val="11"/>
        <color theme="1"/>
        <rFont val="Aptos Narrow"/>
        <family val="2"/>
        <scheme val="minor"/>
      </rPr>
      <t xml:space="preserve">Please refer to "TOP RISKY SKUS" to identify priority SKUs for actions. Thank you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</si>
</sst>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6" formatCode="&quot;$&quot;\ #,##0.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6" fillId="0" borderId="1" xfId="0" applyFont="1" applyBorder="1"/>
    <xf numFmtId="0" fontId="2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7" fontId="0" fillId="0" borderId="1" xfId="0" applyNumberFormat="1" applyBorder="1"/>
    <xf numFmtId="0" fontId="2" fillId="3" borderId="2" xfId="0" applyFont="1" applyFill="1" applyBorder="1" applyAlignment="1">
      <alignment horizontal="center"/>
    </xf>
    <xf numFmtId="0" fontId="1" fillId="0" borderId="1" xfId="0" applyNumberFormat="1" applyFont="1" applyBorder="1"/>
    <xf numFmtId="166" fontId="1" fillId="0" borderId="1" xfId="0" applyNumberFormat="1" applyFont="1" applyBorder="1"/>
    <xf numFmtId="166" fontId="9" fillId="0" borderId="1" xfId="0" applyNumberFormat="1" applyFont="1" applyBorder="1"/>
    <xf numFmtId="0" fontId="0" fillId="0" borderId="0" xfId="0" applyAlignment="1">
      <alignment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3" borderId="1" xfId="0" applyFill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3" fillId="4" borderId="1" xfId="0" applyNumberFormat="1" applyFont="1" applyFill="1" applyBorder="1"/>
  </cellXfs>
  <cellStyles count="1">
    <cellStyle name="Normal" xfId="0" builtinId="0"/>
  </cellStyles>
  <dxfs count="52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&quot;$&quot;\ #,##0.0"/>
    </dxf>
    <dxf>
      <numFmt numFmtId="167" formatCode="0.0"/>
    </dxf>
    <dxf>
      <numFmt numFmtId="167" formatCode="0.0"/>
    </dxf>
    <dxf>
      <numFmt numFmtId="167" formatCode="0.0"/>
    </dxf>
    <dxf>
      <font>
        <color rgb="FFFF0000"/>
      </font>
    </dxf>
    <dxf>
      <font>
        <color auto="1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9" tint="-0.249977111117893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font>
        <color auto="1"/>
      </font>
    </dxf>
    <dxf>
      <font>
        <color rgb="FFFF0000"/>
      </font>
    </dxf>
    <dxf>
      <numFmt numFmtId="167" formatCode="0.0"/>
    </dxf>
    <dxf>
      <numFmt numFmtId="167" formatCode="0.0"/>
    </dxf>
    <dxf>
      <numFmt numFmtId="167" formatCode="0.0"/>
    </dxf>
    <dxf>
      <numFmt numFmtId="166" formatCode="&quot;$&quot;\ #,##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FCC7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JOSE" refreshedDate="46095.671177083335" createdVersion="8" refreshedVersion="8" minRefreshableVersion="3" recordCount="100" xr:uid="{6AF1626E-A398-4958-BAD2-EAEA566B50C1}">
  <cacheSource type="worksheet">
    <worksheetSource ref="A1:U101" sheet="DATA "/>
  </cacheSource>
  <cacheFields count="22">
    <cacheField name="product_id" numFmtId="0">
      <sharedItems containsSemiMixedTypes="0" containsString="0" containsNumber="1" containsInteger="1" minValue="1001" maxValue="1100" count="1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</sharedItems>
    </cacheField>
    <cacheField name="demand_std" numFmtId="0">
      <sharedItems containsSemiMixedTypes="0" containsString="0" containsNumber="1" minValue="5.56" maxValue="19.39"/>
    </cacheField>
    <cacheField name="tunits_sold" numFmtId="0">
      <sharedItems containsSemiMixedTypes="0" containsString="0" containsNumber="1" containsInteger="1" minValue="64" maxValue="590"/>
    </cacheField>
    <cacheField name="trevenue" numFmtId="0">
      <sharedItems containsSemiMixedTypes="0" containsString="0" containsNumber="1" minValue="191699.04" maxValue="1819857.91"/>
    </cacheField>
    <cacheField name="avg_daily_dmd" numFmtId="0">
      <sharedItems containsSemiMixedTypes="0" containsString="0" containsNumber="1" minValue="0.24" maxValue="1.74"/>
    </cacheField>
    <cacheField name="initial_inventory" numFmtId="0">
      <sharedItems containsSemiMixedTypes="0" containsString="0" containsNumber="1" containsInteger="1" minValue="15" maxValue="29"/>
    </cacheField>
    <cacheField name="lead_time_days" numFmtId="0">
      <sharedItems containsSemiMixedTypes="0" containsString="0" containsNumber="1" containsInteger="1" minValue="15" maxValue="24"/>
    </cacheField>
    <cacheField name="safety_stock" numFmtId="0">
      <sharedItems containsSemiMixedTypes="0" containsString="0" containsNumber="1" minValue="43.03" maxValue="149.81"/>
    </cacheField>
    <cacheField name="rop" numFmtId="0">
      <sharedItems containsSemiMixedTypes="0" containsString="0" containsNumber="1" minValue="53.65" maxValue="171.88"/>
    </cacheField>
    <cacheField name="days_cover" numFmtId="0">
      <sharedItems containsSemiMixedTypes="0" containsString="0" containsNumber="1" minValue="10.72" maxValue="88.65"/>
    </cacheField>
    <cacheField name="at_risk" numFmtId="0">
      <sharedItems count="2">
        <b v="0"/>
        <b v="1"/>
      </sharedItems>
    </cacheField>
    <cacheField name="rop_close" numFmtId="0">
      <sharedItems containsSemiMixedTypes="0" containsString="0" containsNumber="1" minValue="-153.88" maxValue="-24.65"/>
    </cacheField>
    <cacheField name="no_stock_days" numFmtId="0">
      <sharedItems containsSemiMixedTypes="0" containsString="0" containsNumber="1" minValue="0" maxValue="9.3800000000000008"/>
    </cacheField>
    <cacheField name="dmd_lost" numFmtId="0">
      <sharedItems containsSemiMixedTypes="0" containsString="0" containsNumber="1" minValue="0" maxValue="16.34"/>
    </cacheField>
    <cacheField name="avg_price" numFmtId="0">
      <sharedItems containsSemiMixedTypes="0" containsString="0" containsNumber="1" minValue="1670.46" maxValue="3876.94"/>
    </cacheField>
    <cacheField name="revenue_risk" numFmtId="0">
      <sharedItems containsSemiMixedTypes="0" containsString="0" containsNumber="1" minValue="0" maxValue="45448.78"/>
    </cacheField>
    <cacheField name="avg_daily_revenue" numFmtId="0">
      <sharedItems containsSemiMixedTypes="0" containsString="0" containsNumber="1" minValue="780.6" maxValue="5301.79"/>
    </cacheField>
    <cacheField name="sku_risk_pctg" numFmtId="0">
      <sharedItems containsSemiMixedTypes="0" containsString="0" containsNumber="1" minValue="0" maxValue="11.99"/>
    </cacheField>
    <cacheField name="ac_risk_pct" numFmtId="0">
      <sharedItems containsSemiMixedTypes="0" containsString="0" containsNumber="1" minValue="0" maxValue="100"/>
    </cacheField>
    <cacheField name="priority" numFmtId="0">
      <sharedItems containsSemiMixedTypes="0" containsString="0" containsNumber="1" minValue="6.4" maxValue="27307.98"/>
    </cacheField>
    <cacheField name="prior" numFmtId="0">
      <sharedItems containsSemiMixedTypes="0" containsString="0" containsNumber="1" minValue="19.2" maxValue="22833.97"/>
    </cacheField>
    <cacheField name="initial_inventory_op" numFmtId="0">
      <sharedItems containsSemiMixedTypes="0" containsString="0" containsNumber="1" minValue="64.260000000000005" maxValue="195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14.83"/>
    <n v="374"/>
    <n v="1012319.51"/>
    <n v="1.21"/>
    <n v="21"/>
    <n v="16"/>
    <n v="97.86"/>
    <n v="117.29"/>
    <n v="17.29"/>
    <x v="0"/>
    <n v="-96.29"/>
    <n v="0"/>
    <n v="0"/>
    <n v="2706.74"/>
    <n v="0"/>
    <n v="3286.75"/>
    <n v="0"/>
    <n v="0"/>
    <n v="37.4"/>
    <n v="112.2"/>
    <n v="136.72"/>
  </r>
  <r>
    <x v="1"/>
    <n v="9.61"/>
    <n v="308"/>
    <n v="745910.34"/>
    <n v="0.93"/>
    <n v="18"/>
    <n v="24"/>
    <n v="77.7"/>
    <n v="100.1"/>
    <n v="19.29"/>
    <x v="1"/>
    <n v="-82.1"/>
    <n v="4.71"/>
    <n v="4.4000000000000004"/>
    <n v="2421.79"/>
    <n v="10655.86"/>
    <n v="2260.33"/>
    <n v="2.81"/>
    <n v="2.81"/>
    <n v="6425.73"/>
    <n v="5421.27"/>
    <n v="122.5"/>
  </r>
  <r>
    <x v="2"/>
    <n v="12.83"/>
    <n v="255"/>
    <n v="750608.69"/>
    <n v="0.74"/>
    <n v="27"/>
    <n v="18"/>
    <n v="89.8"/>
    <n v="103.11"/>
    <n v="36.53"/>
    <x v="0"/>
    <n v="-76.11"/>
    <n v="0"/>
    <n v="0"/>
    <n v="2943.56"/>
    <n v="0"/>
    <n v="2175.6799999999998"/>
    <n v="0"/>
    <n v="2.81"/>
    <n v="25.5"/>
    <n v="76.5"/>
    <n v="116.41"/>
  </r>
  <r>
    <x v="3"/>
    <n v="14.49"/>
    <n v="230"/>
    <n v="865859.72"/>
    <n v="0.86"/>
    <n v="29"/>
    <n v="22"/>
    <n v="112.18"/>
    <n v="131.13"/>
    <n v="33.67"/>
    <x v="0"/>
    <n v="-102.13"/>
    <n v="0"/>
    <n v="0"/>
    <n v="3764.61"/>
    <n v="0"/>
    <n v="3242.92"/>
    <n v="0"/>
    <n v="2.81"/>
    <n v="23"/>
    <n v="69"/>
    <n v="150.08000000000001"/>
  </r>
  <r>
    <x v="4"/>
    <n v="14.63"/>
    <n v="221"/>
    <n v="657473.62"/>
    <n v="0.75"/>
    <n v="25"/>
    <n v="21"/>
    <n v="110.58"/>
    <n v="126.42"/>
    <n v="33.14"/>
    <x v="0"/>
    <n v="-101.42"/>
    <n v="0"/>
    <n v="0"/>
    <n v="2974.99"/>
    <n v="0"/>
    <n v="2243.94"/>
    <n v="0"/>
    <n v="2.81"/>
    <n v="22.1"/>
    <n v="66.3"/>
    <n v="142.26"/>
  </r>
  <r>
    <x v="5"/>
    <n v="13.93"/>
    <n v="210"/>
    <n v="617499.19999999995"/>
    <n v="0.73"/>
    <n v="22"/>
    <n v="23"/>
    <n v="110.2"/>
    <n v="126.91"/>
    <n v="30.28"/>
    <x v="0"/>
    <n v="-104.91"/>
    <n v="0"/>
    <n v="0"/>
    <n v="2940.47"/>
    <n v="0"/>
    <n v="2136.6799999999998"/>
    <n v="0"/>
    <n v="2.81"/>
    <n v="21"/>
    <n v="63"/>
    <n v="143.62"/>
  </r>
  <r>
    <x v="6"/>
    <n v="13.74"/>
    <n v="143"/>
    <n v="479002.38"/>
    <n v="0.71"/>
    <n v="27"/>
    <n v="22"/>
    <n v="106.31"/>
    <n v="121.96"/>
    <n v="37.950000000000003"/>
    <x v="0"/>
    <n v="-94.96"/>
    <n v="0"/>
    <n v="0"/>
    <n v="3349.67"/>
    <n v="0"/>
    <n v="2383.1"/>
    <n v="0"/>
    <n v="2.81"/>
    <n v="14.3"/>
    <n v="42.9"/>
    <n v="137.61000000000001"/>
  </r>
  <r>
    <x v="7"/>
    <n v="8.24"/>
    <n v="407"/>
    <n v="1092001.8"/>
    <n v="1.1499999999999999"/>
    <n v="19"/>
    <n v="19"/>
    <n v="59.26"/>
    <n v="81.11"/>
    <n v="16.53"/>
    <x v="1"/>
    <n v="-62.11"/>
    <n v="2.4700000000000002"/>
    <n v="2.84"/>
    <n v="2683.05"/>
    <n v="7632.3"/>
    <n v="3084.75"/>
    <n v="2.0099999999999998"/>
    <n v="4.83"/>
    <n v="4620.82"/>
    <n v="3938.74"/>
    <n v="102.95"/>
  </r>
  <r>
    <x v="8"/>
    <n v="15.07"/>
    <n v="238"/>
    <n v="544961.9"/>
    <n v="0.82"/>
    <n v="21"/>
    <n v="16"/>
    <n v="99.45"/>
    <n v="112.63"/>
    <n v="25.5"/>
    <x v="0"/>
    <n v="-91.63"/>
    <n v="0"/>
    <n v="0"/>
    <n v="2289.7600000000002"/>
    <n v="0"/>
    <n v="1885.68"/>
    <n v="0"/>
    <n v="4.83"/>
    <n v="23.8"/>
    <n v="71.400000000000006"/>
    <n v="125.81"/>
  </r>
  <r>
    <x v="9"/>
    <n v="17.13"/>
    <n v="187"/>
    <n v="561065.85"/>
    <n v="0.6"/>
    <n v="24"/>
    <n v="19"/>
    <n v="123.19"/>
    <n v="134.54"/>
    <n v="40.17"/>
    <x v="0"/>
    <n v="-110.54"/>
    <n v="0"/>
    <n v="0"/>
    <n v="3000.35"/>
    <n v="0"/>
    <n v="1792.54"/>
    <n v="0"/>
    <n v="4.83"/>
    <n v="18.7"/>
    <n v="56.1"/>
    <n v="145.88999999999999"/>
  </r>
  <r>
    <x v="10"/>
    <n v="15.22"/>
    <n v="75"/>
    <n v="244328.35"/>
    <n v="0.24"/>
    <n v="17"/>
    <n v="22"/>
    <n v="117.77"/>
    <n v="123.05"/>
    <n v="70.95"/>
    <x v="0"/>
    <n v="-106.05"/>
    <n v="0"/>
    <n v="0"/>
    <n v="3257.71"/>
    <n v="0"/>
    <n v="780.6"/>
    <n v="0"/>
    <n v="4.83"/>
    <n v="7.5"/>
    <n v="22.5"/>
    <n v="128.32"/>
  </r>
  <r>
    <x v="11"/>
    <n v="13.8"/>
    <n v="263"/>
    <n v="660189.46"/>
    <n v="0.78"/>
    <n v="21"/>
    <n v="24"/>
    <n v="111.53"/>
    <n v="130.26"/>
    <n v="26.91"/>
    <x v="0"/>
    <n v="-109.26"/>
    <n v="0"/>
    <n v="0"/>
    <n v="2510.23"/>
    <n v="0"/>
    <n v="1959.02"/>
    <n v="0"/>
    <n v="4.83"/>
    <n v="26.3"/>
    <n v="78.900000000000006"/>
    <n v="148.99"/>
  </r>
  <r>
    <x v="12"/>
    <n v="11.42"/>
    <n v="294"/>
    <n v="742017.3"/>
    <n v="1.04"/>
    <n v="25"/>
    <n v="23"/>
    <n v="90.39"/>
    <n v="114.29"/>
    <n v="24.06"/>
    <x v="0"/>
    <n v="-89.29"/>
    <n v="0"/>
    <n v="0"/>
    <n v="2523.87"/>
    <n v="0"/>
    <n v="2621.97"/>
    <n v="0"/>
    <n v="4.83"/>
    <n v="29.4"/>
    <n v="88.2"/>
    <n v="138.18"/>
  </r>
  <r>
    <x v="13"/>
    <n v="18.86"/>
    <n v="245"/>
    <n v="412008.35"/>
    <n v="0.79"/>
    <n v="25"/>
    <n v="23"/>
    <n v="149.27000000000001"/>
    <n v="167.39"/>
    <n v="31.73"/>
    <x v="0"/>
    <n v="-142.38999999999999"/>
    <n v="0"/>
    <n v="0"/>
    <n v="1681.67"/>
    <n v="0"/>
    <n v="1324.79"/>
    <n v="0"/>
    <n v="4.83"/>
    <n v="24.5"/>
    <n v="73.5"/>
    <n v="185.51"/>
  </r>
  <r>
    <x v="14"/>
    <n v="10.63"/>
    <n v="224"/>
    <n v="557604.69999999995"/>
    <n v="0.79"/>
    <n v="22"/>
    <n v="15"/>
    <n v="67.91"/>
    <n v="79.83"/>
    <n v="27.7"/>
    <x v="0"/>
    <n v="-57.83"/>
    <n v="0"/>
    <n v="0"/>
    <n v="2489.31"/>
    <n v="0"/>
    <n v="1977.32"/>
    <n v="0"/>
    <n v="4.83"/>
    <n v="22.4"/>
    <n v="67.2"/>
    <n v="91.74"/>
  </r>
  <r>
    <x v="15"/>
    <n v="15.3"/>
    <n v="245"/>
    <n v="722478.86"/>
    <n v="0.79"/>
    <n v="19"/>
    <n v="23"/>
    <n v="121.04"/>
    <n v="139.16"/>
    <n v="24.12"/>
    <x v="0"/>
    <n v="-120.16"/>
    <n v="0"/>
    <n v="0"/>
    <n v="2948.89"/>
    <n v="0"/>
    <n v="2323.08"/>
    <n v="0"/>
    <n v="4.83"/>
    <n v="24.5"/>
    <n v="73.5"/>
    <n v="157.28"/>
  </r>
  <r>
    <x v="16"/>
    <n v="13.62"/>
    <n v="316"/>
    <n v="868952.4"/>
    <n v="0.92"/>
    <n v="18"/>
    <n v="21"/>
    <n v="102.98"/>
    <n v="122.33"/>
    <n v="19.54"/>
    <x v="1"/>
    <n v="-104.33"/>
    <n v="1.46"/>
    <n v="1.35"/>
    <n v="2749.85"/>
    <n v="3703.88"/>
    <n v="2533.39"/>
    <n v="0.98"/>
    <n v="5.8"/>
    <n v="2254.37"/>
    <n v="1947.03"/>
    <n v="141.68"/>
  </r>
  <r>
    <x v="17"/>
    <n v="9.07"/>
    <n v="160"/>
    <n v="315207.46999999997"/>
    <n v="0.47"/>
    <n v="22"/>
    <n v="23"/>
    <n v="71.739999999999995"/>
    <n v="82.44"/>
    <n v="47.3"/>
    <x v="0"/>
    <n v="-60.44"/>
    <n v="0"/>
    <n v="0"/>
    <n v="1970.05"/>
    <n v="0"/>
    <n v="916.3"/>
    <n v="0"/>
    <n v="5.8"/>
    <n v="16"/>
    <n v="48"/>
    <n v="93.14"/>
  </r>
  <r>
    <x v="18"/>
    <n v="10.71"/>
    <n v="359"/>
    <n v="998549.95"/>
    <n v="1.74"/>
    <n v="22"/>
    <n v="22"/>
    <n v="82.89"/>
    <n v="121.23"/>
    <n v="12.62"/>
    <x v="1"/>
    <n v="-99.23"/>
    <n v="9.3800000000000008"/>
    <n v="16.34"/>
    <n v="2781.48"/>
    <n v="45448.78"/>
    <n v="4847.33"/>
    <n v="11.99"/>
    <n v="17.8"/>
    <n v="27307.98"/>
    <n v="22833.97"/>
    <n v="159.57"/>
  </r>
  <r>
    <x v="19"/>
    <n v="14.5"/>
    <n v="201"/>
    <n v="660776.21"/>
    <n v="0.66"/>
    <n v="17"/>
    <n v="15"/>
    <n v="92.66"/>
    <n v="102.54"/>
    <n v="25.8"/>
    <x v="0"/>
    <n v="-85.54"/>
    <n v="0"/>
    <n v="0"/>
    <n v="3287.44"/>
    <n v="0"/>
    <n v="2166.48"/>
    <n v="0"/>
    <n v="17.8"/>
    <n v="20.100000000000001"/>
    <n v="60.3"/>
    <n v="112.43"/>
  </r>
  <r>
    <x v="20"/>
    <n v="9.6300000000000008"/>
    <n v="237"/>
    <n v="626912.43000000005"/>
    <n v="0.73"/>
    <n v="20"/>
    <n v="22"/>
    <n v="74.5"/>
    <n v="90.55"/>
    <n v="27.43"/>
    <x v="0"/>
    <n v="-70.55"/>
    <n v="0"/>
    <n v="0"/>
    <n v="2645.2"/>
    <n v="0"/>
    <n v="1928.96"/>
    <n v="0"/>
    <n v="17.8"/>
    <n v="23.7"/>
    <n v="71.099999999999994"/>
    <n v="106.59"/>
  </r>
  <r>
    <x v="21"/>
    <n v="13.92"/>
    <n v="127"/>
    <n v="346634.82"/>
    <n v="0.36"/>
    <n v="19"/>
    <n v="22"/>
    <n v="107.73"/>
    <n v="115.67"/>
    <n v="52.66"/>
    <x v="0"/>
    <n v="-96.67"/>
    <n v="0"/>
    <n v="0"/>
    <n v="2729.41"/>
    <n v="0"/>
    <n v="984.76"/>
    <n v="0"/>
    <n v="17.8"/>
    <n v="12.7"/>
    <n v="38.1"/>
    <n v="123.6"/>
  </r>
  <r>
    <x v="22"/>
    <n v="18.559999999999999"/>
    <n v="309"/>
    <n v="902946.43"/>
    <n v="0.88"/>
    <n v="16"/>
    <n v="17"/>
    <n v="126.24"/>
    <n v="141.13"/>
    <n v="18.28"/>
    <x v="0"/>
    <n v="-125.13"/>
    <n v="0"/>
    <n v="0"/>
    <n v="2922.16"/>
    <n v="0"/>
    <n v="2557.92"/>
    <n v="0"/>
    <n v="17.8"/>
    <n v="30.9"/>
    <n v="92.7"/>
    <n v="156.01"/>
  </r>
  <r>
    <x v="23"/>
    <n v="15.1"/>
    <n v="398"/>
    <n v="987380.39"/>
    <n v="1.1399999999999999"/>
    <n v="22"/>
    <n v="15"/>
    <n v="96.52"/>
    <n v="113.57"/>
    <n v="19.350000000000001"/>
    <x v="0"/>
    <n v="-91.57"/>
    <n v="0"/>
    <n v="0"/>
    <n v="2480.86"/>
    <n v="0"/>
    <n v="2821.09"/>
    <n v="0"/>
    <n v="17.8"/>
    <n v="39.799999999999997"/>
    <n v="119.4"/>
    <n v="130.63"/>
  </r>
  <r>
    <x v="24"/>
    <n v="15.53"/>
    <n v="296"/>
    <n v="675068.52"/>
    <n v="0.93"/>
    <n v="26"/>
    <n v="22"/>
    <n v="120.18"/>
    <n v="140.6"/>
    <n v="28.02"/>
    <x v="0"/>
    <n v="-114.6"/>
    <n v="0"/>
    <n v="0"/>
    <n v="2280.64"/>
    <n v="0"/>
    <n v="2116.1999999999998"/>
    <n v="0"/>
    <n v="17.8"/>
    <n v="29.6"/>
    <n v="88.8"/>
    <n v="161.01"/>
  </r>
  <r>
    <x v="25"/>
    <n v="13.71"/>
    <n v="207"/>
    <n v="503389.82"/>
    <n v="0.74"/>
    <n v="28"/>
    <n v="17"/>
    <n v="93.28"/>
    <n v="105.85"/>
    <n v="37.869999999999997"/>
    <x v="0"/>
    <n v="-77.849999999999994"/>
    <n v="0"/>
    <n v="0"/>
    <n v="2431.83"/>
    <n v="0"/>
    <n v="1797.82"/>
    <n v="0"/>
    <n v="17.8"/>
    <n v="20.7"/>
    <n v="62.1"/>
    <n v="118.42"/>
  </r>
  <r>
    <x v="26"/>
    <n v="14.18"/>
    <n v="236"/>
    <n v="542597.98"/>
    <n v="1.01"/>
    <n v="20"/>
    <n v="17"/>
    <n v="96.47"/>
    <n v="113.69"/>
    <n v="19.75"/>
    <x v="0"/>
    <n v="-93.69"/>
    <n v="0"/>
    <n v="0"/>
    <n v="2299.14"/>
    <n v="0"/>
    <n v="2328.75"/>
    <n v="0"/>
    <n v="17.8"/>
    <n v="23.6"/>
    <n v="70.8"/>
    <n v="130.91"/>
  </r>
  <r>
    <x v="27"/>
    <n v="14.53"/>
    <n v="269"/>
    <n v="812993.94"/>
    <n v="0.95"/>
    <n v="16"/>
    <n v="15"/>
    <n v="92.82"/>
    <n v="107.08"/>
    <n v="16.829999999999998"/>
    <x v="0"/>
    <n v="-91.08"/>
    <n v="0"/>
    <n v="0"/>
    <n v="3022.28"/>
    <n v="0"/>
    <n v="2872.77"/>
    <n v="0"/>
    <n v="17.8"/>
    <n v="26.9"/>
    <n v="80.7"/>
    <n v="121.34"/>
  </r>
  <r>
    <x v="28"/>
    <n v="9.9600000000000009"/>
    <n v="215"/>
    <n v="667550.30000000005"/>
    <n v="0.64"/>
    <n v="26"/>
    <n v="19"/>
    <n v="71.66"/>
    <n v="83.78"/>
    <n v="40.75"/>
    <x v="0"/>
    <n v="-57.78"/>
    <n v="0"/>
    <n v="0"/>
    <n v="3104.89"/>
    <n v="0"/>
    <n v="1980.86"/>
    <n v="0"/>
    <n v="17.8"/>
    <n v="21.5"/>
    <n v="64.5"/>
    <n v="95.9"/>
  </r>
  <r>
    <x v="29"/>
    <n v="16.16"/>
    <n v="293"/>
    <n v="978432.57"/>
    <n v="0.99"/>
    <n v="19"/>
    <n v="24"/>
    <n v="130.62"/>
    <n v="154.46"/>
    <n v="19.13"/>
    <x v="1"/>
    <n v="-135.46"/>
    <n v="4.87"/>
    <n v="4.84"/>
    <n v="3339.36"/>
    <n v="16153.45"/>
    <n v="3316.72"/>
    <n v="4.26"/>
    <n v="22.06"/>
    <n v="9722.83"/>
    <n v="8165.6"/>
    <n v="178.3"/>
  </r>
  <r>
    <x v="30"/>
    <n v="11.02"/>
    <n v="64"/>
    <n v="223359.48"/>
    <n v="0.25"/>
    <n v="15"/>
    <n v="21"/>
    <n v="83.29"/>
    <n v="88.44"/>
    <n v="61.17"/>
    <x v="0"/>
    <n v="-73.44"/>
    <n v="0"/>
    <n v="0"/>
    <n v="3489.99"/>
    <n v="0"/>
    <n v="855.78"/>
    <n v="0"/>
    <n v="22.06"/>
    <n v="6.4"/>
    <n v="19.2"/>
    <n v="93.59"/>
  </r>
  <r>
    <x v="31"/>
    <n v="14.92"/>
    <n v="231"/>
    <n v="895573.23"/>
    <n v="0.8"/>
    <n v="26"/>
    <n v="24"/>
    <n v="120.64"/>
    <n v="139.83000000000001"/>
    <n v="32.53"/>
    <x v="0"/>
    <n v="-113.83"/>
    <n v="0"/>
    <n v="0"/>
    <n v="3876.94"/>
    <n v="0"/>
    <n v="3098.87"/>
    <n v="0"/>
    <n v="22.06"/>
    <n v="23.1"/>
    <n v="69.3"/>
    <n v="159.01"/>
  </r>
  <r>
    <x v="32"/>
    <n v="14.15"/>
    <n v="404"/>
    <n v="979117.75"/>
    <n v="1.3"/>
    <n v="24"/>
    <n v="23"/>
    <n v="111.98"/>
    <n v="141.96"/>
    <n v="18.420000000000002"/>
    <x v="1"/>
    <n v="-117.96"/>
    <n v="4.58"/>
    <n v="5.97"/>
    <n v="2423.56"/>
    <n v="14478.81"/>
    <n v="3158.44"/>
    <n v="3.82"/>
    <n v="25.88"/>
    <n v="8729.06"/>
    <n v="7361.52"/>
    <n v="171.93"/>
  </r>
  <r>
    <x v="33"/>
    <n v="14.28"/>
    <n v="213"/>
    <n v="360412.02"/>
    <n v="0.72"/>
    <n v="20"/>
    <n v="21"/>
    <n v="108"/>
    <n v="123.11"/>
    <n v="27.79"/>
    <x v="0"/>
    <n v="-103.11"/>
    <n v="0"/>
    <n v="0"/>
    <n v="1692.08"/>
    <n v="0"/>
    <n v="1217.6099999999999"/>
    <n v="0"/>
    <n v="25.88"/>
    <n v="21.3"/>
    <n v="63.9"/>
    <n v="138.22"/>
  </r>
  <r>
    <x v="34"/>
    <n v="17.100000000000001"/>
    <n v="234"/>
    <n v="752454.86"/>
    <n v="0.88"/>
    <n v="27"/>
    <n v="23"/>
    <n v="135.28"/>
    <n v="155.44"/>
    <n v="30.81"/>
    <x v="0"/>
    <n v="-128.44"/>
    <n v="0"/>
    <n v="0"/>
    <n v="3215.62"/>
    <n v="0"/>
    <n v="2818.18"/>
    <n v="0"/>
    <n v="25.88"/>
    <n v="23.4"/>
    <n v="70.2"/>
    <n v="175.6"/>
  </r>
  <r>
    <x v="35"/>
    <n v="13.28"/>
    <n v="314"/>
    <n v="969013.01"/>
    <n v="1.02"/>
    <n v="26"/>
    <n v="22"/>
    <n v="102.77"/>
    <n v="125.2"/>
    <n v="25.5"/>
    <x v="0"/>
    <n v="-99.2"/>
    <n v="0"/>
    <n v="0"/>
    <n v="3086.03"/>
    <n v="0"/>
    <n v="3146.15"/>
    <n v="0"/>
    <n v="25.88"/>
    <n v="31.4"/>
    <n v="94.2"/>
    <n v="147.63"/>
  </r>
  <r>
    <x v="36"/>
    <n v="15.37"/>
    <n v="164"/>
    <n v="534393.51"/>
    <n v="0.49"/>
    <n v="23"/>
    <n v="16"/>
    <n v="101.45"/>
    <n v="109.26"/>
    <n v="47.12"/>
    <x v="0"/>
    <n v="-86.26"/>
    <n v="0"/>
    <n v="0"/>
    <n v="3258.5"/>
    <n v="0"/>
    <n v="1590.46"/>
    <n v="0"/>
    <n v="25.88"/>
    <n v="16.399999999999999"/>
    <n v="49.2"/>
    <n v="117.07"/>
  </r>
  <r>
    <x v="37"/>
    <n v="14.28"/>
    <n v="208"/>
    <n v="501874.2"/>
    <n v="0.75"/>
    <n v="15"/>
    <n v="15"/>
    <n v="91.26"/>
    <n v="102.45"/>
    <n v="20.12"/>
    <x v="0"/>
    <n v="-87.45"/>
    <n v="0"/>
    <n v="0"/>
    <n v="2412.86"/>
    <n v="0"/>
    <n v="1798.83"/>
    <n v="0"/>
    <n v="25.88"/>
    <n v="20.8"/>
    <n v="62.4"/>
    <n v="113.63"/>
  </r>
  <r>
    <x v="38"/>
    <n v="15.43"/>
    <n v="279"/>
    <n v="874068.51"/>
    <n v="1.07"/>
    <n v="25"/>
    <n v="21"/>
    <n v="116.7"/>
    <n v="139.15"/>
    <n v="23.39"/>
    <x v="0"/>
    <n v="-114.15"/>
    <n v="0"/>
    <n v="0"/>
    <n v="3132.86"/>
    <n v="0"/>
    <n v="3348.92"/>
    <n v="0"/>
    <n v="25.88"/>
    <n v="27.9"/>
    <n v="83.7"/>
    <n v="161.6"/>
  </r>
  <r>
    <x v="39"/>
    <n v="16.329999999999998"/>
    <n v="168"/>
    <n v="441395.75"/>
    <n v="0.54"/>
    <n v="25"/>
    <n v="21"/>
    <n v="123.51"/>
    <n v="134.91999999999999"/>
    <n v="45.98"/>
    <x v="0"/>
    <n v="-109.92"/>
    <n v="0"/>
    <n v="0"/>
    <n v="2627.36"/>
    <n v="0"/>
    <n v="1428.47"/>
    <n v="0"/>
    <n v="25.88"/>
    <n v="16.8"/>
    <n v="50.4"/>
    <n v="146.34"/>
  </r>
  <r>
    <x v="40"/>
    <n v="5.56"/>
    <n v="151"/>
    <n v="288497.74"/>
    <n v="0.48"/>
    <n v="29"/>
    <n v="22"/>
    <n v="43.03"/>
    <n v="53.65"/>
    <n v="60.11"/>
    <x v="0"/>
    <n v="-24.65"/>
    <n v="0"/>
    <n v="0"/>
    <n v="1910.58"/>
    <n v="0"/>
    <n v="921.72"/>
    <n v="0"/>
    <n v="25.88"/>
    <n v="15.1"/>
    <n v="45.3"/>
    <n v="64.260000000000005"/>
  </r>
  <r>
    <x v="41"/>
    <n v="13.14"/>
    <n v="216"/>
    <n v="472613.54"/>
    <n v="0.95"/>
    <n v="24"/>
    <n v="19"/>
    <n v="94.53"/>
    <n v="112.61"/>
    <n v="25.22"/>
    <x v="0"/>
    <n v="-88.61"/>
    <n v="0"/>
    <n v="0"/>
    <n v="2188.0300000000002"/>
    <n v="0"/>
    <n v="2082"/>
    <n v="0"/>
    <n v="25.88"/>
    <n v="21.6"/>
    <n v="64.8"/>
    <n v="130.69"/>
  </r>
  <r>
    <x v="42"/>
    <n v="8.83"/>
    <n v="65"/>
    <n v="191699.04"/>
    <n v="0.47"/>
    <n v="26"/>
    <n v="17"/>
    <n v="60.08"/>
    <n v="68.03"/>
    <n v="55.6"/>
    <x v="0"/>
    <n v="-42.03"/>
    <n v="0"/>
    <n v="0"/>
    <n v="2949.22"/>
    <n v="0"/>
    <n v="1379.13"/>
    <n v="0"/>
    <n v="25.88"/>
    <n v="6.5"/>
    <n v="19.5"/>
    <n v="75.98"/>
  </r>
  <r>
    <x v="43"/>
    <n v="13.56"/>
    <n v="180"/>
    <n v="467177.29"/>
    <n v="0.56000000000000005"/>
    <n v="26"/>
    <n v="22"/>
    <n v="104.98"/>
    <n v="117.28"/>
    <n v="46.51"/>
    <x v="0"/>
    <n v="-91.28"/>
    <n v="0"/>
    <n v="0"/>
    <n v="2595.4299999999998"/>
    <n v="0"/>
    <n v="1450.86"/>
    <n v="0"/>
    <n v="25.88"/>
    <n v="18"/>
    <n v="54"/>
    <n v="129.58000000000001"/>
  </r>
  <r>
    <x v="44"/>
    <n v="15.67"/>
    <n v="221"/>
    <n v="672185.39"/>
    <n v="0.65"/>
    <n v="29"/>
    <n v="20"/>
    <n v="115.62"/>
    <n v="128.69999999999999"/>
    <n v="44.35"/>
    <x v="0"/>
    <n v="-99.7"/>
    <n v="0"/>
    <n v="0"/>
    <n v="3041.56"/>
    <n v="0"/>
    <n v="1988.71"/>
    <n v="0"/>
    <n v="25.88"/>
    <n v="22.1"/>
    <n v="66.3"/>
    <n v="141.78"/>
  </r>
  <r>
    <x v="45"/>
    <n v="18.36"/>
    <n v="184"/>
    <n v="505852.55"/>
    <n v="0.74"/>
    <n v="28"/>
    <n v="17"/>
    <n v="124.93"/>
    <n v="137.55000000000001"/>
    <n v="37.74"/>
    <x v="0"/>
    <n v="-109.55"/>
    <n v="0"/>
    <n v="0"/>
    <n v="2749.2"/>
    <n v="0"/>
    <n v="2039.73"/>
    <n v="0"/>
    <n v="25.88"/>
    <n v="18.399999999999999"/>
    <n v="55.2"/>
    <n v="150.16"/>
  </r>
  <r>
    <x v="46"/>
    <n v="11.79"/>
    <n v="354"/>
    <n v="993636.24"/>
    <n v="1.31"/>
    <n v="28"/>
    <n v="15"/>
    <n v="75.34"/>
    <n v="95.01"/>
    <n v="21.36"/>
    <x v="0"/>
    <n v="-67.010000000000005"/>
    <n v="0"/>
    <n v="0"/>
    <n v="2806.88"/>
    <n v="0"/>
    <n v="3680.13"/>
    <n v="0"/>
    <n v="25.88"/>
    <n v="35.4"/>
    <n v="106.2"/>
    <n v="114.68"/>
  </r>
  <r>
    <x v="47"/>
    <n v="19.39"/>
    <n v="280"/>
    <n v="1024216.03"/>
    <n v="0.99"/>
    <n v="29"/>
    <n v="17"/>
    <n v="131.9"/>
    <n v="148.77000000000001"/>
    <n v="29.21"/>
    <x v="0"/>
    <n v="-119.77"/>
    <n v="0"/>
    <n v="0"/>
    <n v="3657.91"/>
    <n v="0"/>
    <n v="3631.97"/>
    <n v="0"/>
    <n v="25.88"/>
    <n v="28"/>
    <n v="84"/>
    <n v="165.65"/>
  </r>
  <r>
    <x v="48"/>
    <n v="13.32"/>
    <n v="240"/>
    <n v="902410.18"/>
    <n v="0.77"/>
    <n v="28"/>
    <n v="19"/>
    <n v="95.82"/>
    <n v="110.44"/>
    <n v="36.4"/>
    <x v="0"/>
    <n v="-82.44"/>
    <n v="0"/>
    <n v="0"/>
    <n v="3760.04"/>
    <n v="0"/>
    <n v="2892.34"/>
    <n v="0"/>
    <n v="25.88"/>
    <n v="24"/>
    <n v="72"/>
    <n v="125.05"/>
  </r>
  <r>
    <x v="49"/>
    <n v="14.31"/>
    <n v="265"/>
    <n v="662531.62"/>
    <n v="0.96"/>
    <n v="17"/>
    <n v="17"/>
    <n v="97.35"/>
    <n v="113.68"/>
    <n v="17.71"/>
    <x v="0"/>
    <n v="-96.68"/>
    <n v="0"/>
    <n v="0"/>
    <n v="2500.12"/>
    <n v="0"/>
    <n v="2400.48"/>
    <n v="0"/>
    <n v="25.88"/>
    <n v="26.5"/>
    <n v="79.5"/>
    <n v="130"/>
  </r>
  <r>
    <x v="50"/>
    <n v="13.21"/>
    <n v="261"/>
    <n v="688026.3"/>
    <n v="0.76"/>
    <n v="26"/>
    <n v="15"/>
    <n v="84.44"/>
    <n v="95.85"/>
    <n v="34.17"/>
    <x v="0"/>
    <n v="-69.849999999999994"/>
    <n v="0"/>
    <n v="0"/>
    <n v="2636.12"/>
    <n v="0"/>
    <n v="2005.91"/>
    <n v="0"/>
    <n v="25.88"/>
    <n v="26.1"/>
    <n v="78.3"/>
    <n v="107.26"/>
  </r>
  <r>
    <x v="51"/>
    <n v="17.25"/>
    <n v="277"/>
    <n v="699216.34"/>
    <n v="0.79"/>
    <n v="21"/>
    <n v="19"/>
    <n v="124.06"/>
    <n v="139.01"/>
    <n v="26.69"/>
    <x v="0"/>
    <n v="-118.01"/>
    <n v="0"/>
    <n v="0"/>
    <n v="2524.25"/>
    <n v="0"/>
    <n v="1986.41"/>
    <n v="0"/>
    <n v="25.88"/>
    <n v="27.7"/>
    <n v="83.1"/>
    <n v="153.96"/>
  </r>
  <r>
    <x v="52"/>
    <n v="18.53"/>
    <n v="309"/>
    <n v="926014.92"/>
    <n v="0.92"/>
    <n v="18"/>
    <n v="24"/>
    <n v="149.81"/>
    <n v="171.88"/>
    <n v="19.57"/>
    <x v="1"/>
    <n v="-153.88"/>
    <n v="4.43"/>
    <n v="4.07"/>
    <n v="2996.81"/>
    <n v="12201.31"/>
    <n v="2756"/>
    <n v="3.22"/>
    <n v="29.1"/>
    <n v="7353.01"/>
    <n v="6194.24"/>
    <n v="193.96"/>
  </r>
  <r>
    <x v="53"/>
    <n v="15.41"/>
    <n v="348"/>
    <n v="1256881.3999999999"/>
    <n v="1.19"/>
    <n v="23"/>
    <n v="21"/>
    <n v="116.52"/>
    <n v="141.46"/>
    <n v="19.36"/>
    <x v="1"/>
    <n v="-118.46"/>
    <n v="1.64"/>
    <n v="1.94"/>
    <n v="3611.73"/>
    <n v="7013.9"/>
    <n v="4289.7"/>
    <n v="1.85"/>
    <n v="30.95"/>
    <n v="4243.63"/>
    <n v="3611.68"/>
    <n v="166.4"/>
  </r>
  <r>
    <x v="54"/>
    <n v="16.96"/>
    <n v="176"/>
    <n v="603513.67000000004"/>
    <n v="0.7"/>
    <n v="17"/>
    <n v="21"/>
    <n v="128.19999999999999"/>
    <n v="142.87"/>
    <n v="24.34"/>
    <x v="0"/>
    <n v="-125.87"/>
    <n v="0"/>
    <n v="0"/>
    <n v="3429.05"/>
    <n v="0"/>
    <n v="2394.9"/>
    <n v="0"/>
    <n v="30.95"/>
    <n v="17.600000000000001"/>
    <n v="52.8"/>
    <n v="157.54"/>
  </r>
  <r>
    <x v="55"/>
    <n v="14.16"/>
    <n v="253"/>
    <n v="491945.08"/>
    <n v="0.73"/>
    <n v="19"/>
    <n v="23"/>
    <n v="112.08"/>
    <n v="128.80000000000001"/>
    <n v="26.13"/>
    <x v="0"/>
    <n v="-109.8"/>
    <n v="0"/>
    <n v="0"/>
    <n v="1944.45"/>
    <n v="0"/>
    <n v="1413.64"/>
    <n v="0"/>
    <n v="30.95"/>
    <n v="25.3"/>
    <n v="75.900000000000006"/>
    <n v="145.52000000000001"/>
  </r>
  <r>
    <x v="56"/>
    <n v="11.18"/>
    <n v="247"/>
    <n v="823674.31"/>
    <n v="0.7"/>
    <n v="17"/>
    <n v="24"/>
    <n v="90.38"/>
    <n v="107.18"/>
    <n v="24.3"/>
    <x v="0"/>
    <n v="-90.18"/>
    <n v="0"/>
    <n v="0"/>
    <n v="3334.71"/>
    <n v="0"/>
    <n v="2333.35"/>
    <n v="0"/>
    <n v="30.95"/>
    <n v="24.7"/>
    <n v="74.099999999999994"/>
    <n v="123.97"/>
  </r>
  <r>
    <x v="57"/>
    <n v="16.559999999999999"/>
    <n v="452"/>
    <n v="1205704.3999999999"/>
    <n v="1.28"/>
    <n v="21"/>
    <n v="24"/>
    <n v="133.83000000000001"/>
    <n v="164.65"/>
    <n v="16.350000000000001"/>
    <x v="1"/>
    <n v="-143.65"/>
    <n v="7.65"/>
    <n v="9.82"/>
    <n v="2667.49"/>
    <n v="26189.88"/>
    <n v="3425.3"/>
    <n v="6.91"/>
    <n v="37.86"/>
    <n v="15761.42"/>
    <n v="13232.07"/>
    <n v="195.47"/>
  </r>
  <r>
    <x v="58"/>
    <n v="13.88"/>
    <n v="227"/>
    <n v="592461.48"/>
    <n v="1.03"/>
    <n v="19"/>
    <n v="17"/>
    <n v="94.43"/>
    <n v="111.89"/>
    <n v="18.5"/>
    <x v="0"/>
    <n v="-92.89"/>
    <n v="0"/>
    <n v="0"/>
    <n v="2609.96"/>
    <n v="0"/>
    <n v="2680.82"/>
    <n v="0"/>
    <n v="37.86"/>
    <n v="22.7"/>
    <n v="68.099999999999994"/>
    <n v="129.36000000000001"/>
  </r>
  <r>
    <x v="59"/>
    <n v="15.64"/>
    <n v="280"/>
    <n v="928307.77"/>
    <n v="0.82"/>
    <n v="23"/>
    <n v="21"/>
    <n v="118.27"/>
    <n v="135.57"/>
    <n v="27.93"/>
    <x v="0"/>
    <n v="-112.57"/>
    <n v="0"/>
    <n v="0"/>
    <n v="3315.38"/>
    <n v="0"/>
    <n v="2730.32"/>
    <n v="0"/>
    <n v="37.86"/>
    <n v="28"/>
    <n v="84"/>
    <n v="152.86000000000001"/>
  </r>
  <r>
    <x v="60"/>
    <n v="11.46"/>
    <n v="391"/>
    <n v="1097459.1100000001"/>
    <n v="1.18"/>
    <n v="21"/>
    <n v="15"/>
    <n v="73.239999999999995"/>
    <n v="90.91"/>
    <n v="17.829999999999998"/>
    <x v="0"/>
    <n v="-69.91"/>
    <n v="0"/>
    <n v="0"/>
    <n v="2806.8"/>
    <n v="0"/>
    <n v="3305.6"/>
    <n v="0"/>
    <n v="37.86"/>
    <n v="39.1"/>
    <n v="117.3"/>
    <n v="108.57"/>
  </r>
  <r>
    <x v="61"/>
    <n v="15.1"/>
    <n v="506"/>
    <n v="1192222.3799999999"/>
    <n v="1.49"/>
    <n v="16"/>
    <n v="18"/>
    <n v="105.73"/>
    <n v="132.6"/>
    <n v="10.72"/>
    <x v="1"/>
    <n v="-116.6"/>
    <n v="7.28"/>
    <n v="10.87"/>
    <n v="2356.17"/>
    <n v="25605.11"/>
    <n v="3516.88"/>
    <n v="6.76"/>
    <n v="44.62"/>
    <n v="15415.85"/>
    <n v="12955.81"/>
    <n v="159.47"/>
  </r>
  <r>
    <x v="62"/>
    <n v="14.49"/>
    <n v="373"/>
    <n v="1068608.51"/>
    <n v="1.4"/>
    <n v="18"/>
    <n v="18"/>
    <n v="101.42"/>
    <n v="126.57"/>
    <n v="12.88"/>
    <x v="1"/>
    <n v="-108.57"/>
    <n v="5.12"/>
    <n v="7.15"/>
    <n v="2864.9"/>
    <n v="20472.78"/>
    <n v="4002.28"/>
    <n v="5.4"/>
    <n v="50.02"/>
    <n v="12322.51"/>
    <n v="10349.32"/>
    <n v="151.71"/>
  </r>
  <r>
    <x v="63"/>
    <n v="14.14"/>
    <n v="156"/>
    <n v="433576.83"/>
    <n v="0.44"/>
    <n v="23"/>
    <n v="19"/>
    <n v="101.71"/>
    <n v="110.13"/>
    <n v="51.9"/>
    <x v="0"/>
    <n v="-87.13"/>
    <n v="0"/>
    <n v="0"/>
    <n v="2779.34"/>
    <n v="0"/>
    <n v="1231.75"/>
    <n v="0"/>
    <n v="50.02"/>
    <n v="15.6"/>
    <n v="46.8"/>
    <n v="118.55"/>
  </r>
  <r>
    <x v="64"/>
    <n v="7.41"/>
    <n v="105"/>
    <n v="296587.77"/>
    <n v="0.28999999999999998"/>
    <n v="26"/>
    <n v="21"/>
    <n v="56.07"/>
    <n v="62.23"/>
    <n v="88.65"/>
    <x v="0"/>
    <n v="-36.229999999999997"/>
    <n v="0"/>
    <n v="0"/>
    <n v="2824.65"/>
    <n v="0"/>
    <n v="828.46"/>
    <n v="0"/>
    <n v="50.02"/>
    <n v="10.5"/>
    <n v="31.5"/>
    <n v="68.39"/>
  </r>
  <r>
    <x v="65"/>
    <n v="18"/>
    <n v="158"/>
    <n v="373198.37"/>
    <n v="0.59"/>
    <n v="28"/>
    <n v="21"/>
    <n v="136.09"/>
    <n v="148.38"/>
    <n v="47.85"/>
    <x v="0"/>
    <n v="-120.38"/>
    <n v="0"/>
    <n v="0"/>
    <n v="2362.02"/>
    <n v="0"/>
    <n v="1382.22"/>
    <n v="0"/>
    <n v="50.02"/>
    <n v="15.8"/>
    <n v="47.4"/>
    <n v="160.66999999999999"/>
  </r>
  <r>
    <x v="66"/>
    <n v="13.05"/>
    <n v="333"/>
    <n v="865583.46"/>
    <n v="1.38"/>
    <n v="16"/>
    <n v="18"/>
    <n v="91.34"/>
    <n v="116.1"/>
    <n v="11.63"/>
    <x v="1"/>
    <n v="-100.1"/>
    <n v="6.37"/>
    <n v="8.77"/>
    <n v="2599.35"/>
    <n v="22792.65"/>
    <n v="3576.79"/>
    <n v="6.01"/>
    <n v="56.04"/>
    <n v="13710.8"/>
    <n v="11497.5"/>
    <n v="140.87"/>
  </r>
  <r>
    <x v="67"/>
    <n v="10.79"/>
    <n v="130"/>
    <n v="297759.95"/>
    <n v="0.49"/>
    <n v="24"/>
    <n v="21"/>
    <n v="81.61"/>
    <n v="91.95"/>
    <n v="48.74"/>
    <x v="0"/>
    <n v="-67.95"/>
    <n v="0"/>
    <n v="0"/>
    <n v="2290.46"/>
    <n v="0"/>
    <n v="1127.8800000000001"/>
    <n v="0"/>
    <n v="56.04"/>
    <n v="13"/>
    <n v="39"/>
    <n v="102.29"/>
  </r>
  <r>
    <x v="68"/>
    <n v="15.47"/>
    <n v="336"/>
    <n v="887930.11"/>
    <n v="0.97"/>
    <n v="23"/>
    <n v="17"/>
    <n v="105.23"/>
    <n v="121.65"/>
    <n v="23.82"/>
    <x v="0"/>
    <n v="-98.65"/>
    <n v="0"/>
    <n v="0"/>
    <n v="2642.65"/>
    <n v="0"/>
    <n v="2551.52"/>
    <n v="0"/>
    <n v="56.04"/>
    <n v="33.6"/>
    <n v="100.8"/>
    <n v="138.06"/>
  </r>
  <r>
    <x v="69"/>
    <n v="12.57"/>
    <n v="131"/>
    <n v="320792.28999999998"/>
    <n v="0.38"/>
    <n v="24"/>
    <n v="20"/>
    <n v="92.72"/>
    <n v="100.25"/>
    <n v="63.76"/>
    <x v="0"/>
    <n v="-76.25"/>
    <n v="0"/>
    <n v="0"/>
    <n v="2448.8000000000002"/>
    <n v="0"/>
    <n v="921.82"/>
    <n v="0"/>
    <n v="56.04"/>
    <n v="13.1"/>
    <n v="39.299999999999997"/>
    <n v="107.78"/>
  </r>
  <r>
    <x v="70"/>
    <n v="16.27"/>
    <n v="162"/>
    <n v="438640.46"/>
    <n v="0.73"/>
    <n v="19"/>
    <n v="16"/>
    <n v="107.4"/>
    <n v="119.08"/>
    <n v="26.04"/>
    <x v="0"/>
    <n v="-100.08"/>
    <n v="0"/>
    <n v="0"/>
    <n v="2707.66"/>
    <n v="0"/>
    <n v="1975.86"/>
    <n v="0"/>
    <n v="56.04"/>
    <n v="16.2"/>
    <n v="48.6"/>
    <n v="130.75"/>
  </r>
  <r>
    <x v="71"/>
    <n v="10.82"/>
    <n v="211"/>
    <n v="571419.65"/>
    <n v="0.65"/>
    <n v="16"/>
    <n v="24"/>
    <n v="87.48"/>
    <n v="103.16"/>
    <n v="24.49"/>
    <x v="0"/>
    <n v="-87.16"/>
    <n v="0"/>
    <n v="0"/>
    <n v="2708.15"/>
    <n v="0"/>
    <n v="1769.1"/>
    <n v="0"/>
    <n v="56.04"/>
    <n v="21.1"/>
    <n v="63.3"/>
    <n v="118.84"/>
  </r>
  <r>
    <x v="72"/>
    <n v="7.25"/>
    <n v="278"/>
    <n v="821721.08"/>
    <n v="1.23"/>
    <n v="18"/>
    <n v="23"/>
    <n v="57.38"/>
    <n v="85.67"/>
    <n v="14.63"/>
    <x v="1"/>
    <n v="-67.67"/>
    <n v="8.3699999999999992"/>
    <n v="10.29"/>
    <n v="2955.83"/>
    <n v="30421.52"/>
    <n v="3635.93"/>
    <n v="8.0299999999999994"/>
    <n v="64.06"/>
    <n v="18283.22"/>
    <n v="15295.83"/>
    <n v="113.96"/>
  </r>
  <r>
    <x v="73"/>
    <n v="16.09"/>
    <n v="231"/>
    <n v="429878.21"/>
    <n v="0.67"/>
    <n v="26"/>
    <n v="19"/>
    <n v="115.7"/>
    <n v="128.34"/>
    <n v="39.06"/>
    <x v="0"/>
    <n v="-102.34"/>
    <n v="0"/>
    <n v="0"/>
    <n v="1860.94"/>
    <n v="0"/>
    <n v="1238.8399999999999"/>
    <n v="0"/>
    <n v="64.06"/>
    <n v="23.1"/>
    <n v="69.3"/>
    <n v="140.99"/>
  </r>
  <r>
    <x v="74"/>
    <n v="9.89"/>
    <n v="355"/>
    <n v="1069940.3899999999"/>
    <n v="1.1499999999999999"/>
    <n v="29"/>
    <n v="20"/>
    <n v="73.010000000000005"/>
    <n v="96.06"/>
    <n v="25.16"/>
    <x v="0"/>
    <n v="-67.06"/>
    <n v="0"/>
    <n v="0"/>
    <n v="3013.92"/>
    <n v="0"/>
    <n v="3473.83"/>
    <n v="0"/>
    <n v="64.06"/>
    <n v="35.5"/>
    <n v="106.5"/>
    <n v="119.12"/>
  </r>
  <r>
    <x v="75"/>
    <n v="6.29"/>
    <n v="199"/>
    <n v="551876.84"/>
    <n v="0.6"/>
    <n v="26"/>
    <n v="18"/>
    <n v="44.03"/>
    <n v="54.75"/>
    <n v="43.64"/>
    <x v="0"/>
    <n v="-28.75"/>
    <n v="0"/>
    <n v="0"/>
    <n v="2773.25"/>
    <n v="0"/>
    <n v="1652.33"/>
    <n v="0"/>
    <n v="64.06"/>
    <n v="19.899999999999999"/>
    <n v="59.7"/>
    <n v="65.48"/>
  </r>
  <r>
    <x v="76"/>
    <n v="12.84"/>
    <n v="167"/>
    <n v="373632.36"/>
    <n v="0.51"/>
    <n v="21"/>
    <n v="24"/>
    <n v="103.77"/>
    <n v="116.07"/>
    <n v="40.99"/>
    <x v="0"/>
    <n v="-95.07"/>
    <n v="0"/>
    <n v="0"/>
    <n v="2237.3200000000002"/>
    <n v="0"/>
    <n v="1146.1099999999999"/>
    <n v="0"/>
    <n v="64.06"/>
    <n v="16.7"/>
    <n v="50.1"/>
    <n v="128.36000000000001"/>
  </r>
  <r>
    <x v="77"/>
    <n v="17.38"/>
    <n v="249"/>
    <n v="663087.34"/>
    <n v="0.7"/>
    <n v="26"/>
    <n v="21"/>
    <n v="131.43"/>
    <n v="146.16"/>
    <n v="37.07"/>
    <x v="0"/>
    <n v="-120.16"/>
    <n v="0"/>
    <n v="0"/>
    <n v="2663"/>
    <n v="0"/>
    <n v="1867.85"/>
    <n v="0"/>
    <n v="64.06"/>
    <n v="24.9"/>
    <n v="74.7"/>
    <n v="160.88999999999999"/>
  </r>
  <r>
    <x v="78"/>
    <n v="17.13"/>
    <n v="186"/>
    <n v="310704.73"/>
    <n v="1.28"/>
    <n v="27"/>
    <n v="23"/>
    <n v="135.59"/>
    <n v="165.09"/>
    <n v="21.05"/>
    <x v="1"/>
    <n v="-138.09"/>
    <n v="1.95"/>
    <n v="2.5"/>
    <n v="1670.46"/>
    <n v="4181.8999999999996"/>
    <n v="2142.79"/>
    <n v="1.1000000000000001"/>
    <n v="65.17"/>
    <n v="2528.3200000000002"/>
    <n v="2147.14"/>
    <n v="194.6"/>
  </r>
  <r>
    <x v="79"/>
    <n v="15.08"/>
    <n v="210"/>
    <n v="609421.34"/>
    <n v="0.7"/>
    <n v="22"/>
    <n v="21"/>
    <n v="114.01"/>
    <n v="128.76"/>
    <n v="31.32"/>
    <x v="0"/>
    <n v="-106.76"/>
    <n v="0"/>
    <n v="0"/>
    <n v="2902.01"/>
    <n v="0"/>
    <n v="2038.2"/>
    <n v="0"/>
    <n v="65.17"/>
    <n v="21"/>
    <n v="63"/>
    <n v="143.51"/>
  </r>
  <r>
    <x v="80"/>
    <n v="12.44"/>
    <n v="210"/>
    <n v="402367.01"/>
    <n v="0.71"/>
    <n v="29"/>
    <n v="15"/>
    <n v="79.47"/>
    <n v="90.08"/>
    <n v="41.01"/>
    <x v="0"/>
    <n v="-61.08"/>
    <n v="0"/>
    <n v="0"/>
    <n v="1916.03"/>
    <n v="0"/>
    <n v="1354.77"/>
    <n v="0"/>
    <n v="65.17"/>
    <n v="21"/>
    <n v="63"/>
    <n v="100.69"/>
  </r>
  <r>
    <x v="81"/>
    <n v="18.47"/>
    <n v="212"/>
    <n v="468069.81"/>
    <n v="1.1200000000000001"/>
    <n v="17"/>
    <n v="15"/>
    <n v="118.05"/>
    <n v="134.87"/>
    <n v="15.16"/>
    <x v="0"/>
    <n v="-117.87"/>
    <n v="0"/>
    <n v="0"/>
    <n v="2207.88"/>
    <n v="0"/>
    <n v="2476.56"/>
    <n v="0"/>
    <n v="65.17"/>
    <n v="21.2"/>
    <n v="63.6"/>
    <n v="151.69999999999999"/>
  </r>
  <r>
    <x v="82"/>
    <n v="9.2200000000000006"/>
    <n v="125"/>
    <n v="319611.77"/>
    <n v="0.62"/>
    <n v="28"/>
    <n v="23"/>
    <n v="72.92"/>
    <n v="87.15"/>
    <n v="45.25"/>
    <x v="0"/>
    <n v="-59.15"/>
    <n v="0"/>
    <n v="0"/>
    <n v="2556.89"/>
    <n v="0"/>
    <n v="1582.24"/>
    <n v="0"/>
    <n v="65.17"/>
    <n v="12.5"/>
    <n v="37.5"/>
    <n v="101.38"/>
  </r>
  <r>
    <x v="83"/>
    <n v="11.36"/>
    <n v="247"/>
    <n v="590601.71"/>
    <n v="0.79"/>
    <n v="15"/>
    <n v="23"/>
    <n v="89.87"/>
    <n v="107.96"/>
    <n v="19.07"/>
    <x v="1"/>
    <n v="-92.96"/>
    <n v="3.93"/>
    <n v="3.09"/>
    <n v="2391.1"/>
    <n v="7394.13"/>
    <n v="1880.9"/>
    <n v="1.95"/>
    <n v="67.12"/>
    <n v="4462.3599999999997"/>
    <n v="3771.95"/>
    <n v="126.05"/>
  </r>
  <r>
    <x v="84"/>
    <n v="14.19"/>
    <n v="270"/>
    <n v="901017.41"/>
    <n v="0.81"/>
    <n v="18"/>
    <n v="18"/>
    <n v="99.34"/>
    <n v="113.89"/>
    <n v="22.27"/>
    <x v="0"/>
    <n v="-95.89"/>
    <n v="0"/>
    <n v="0"/>
    <n v="3337.1"/>
    <n v="0"/>
    <n v="2697.66"/>
    <n v="0"/>
    <n v="67.12"/>
    <n v="27"/>
    <n v="81"/>
    <n v="128.44"/>
  </r>
  <r>
    <x v="85"/>
    <n v="15.61"/>
    <n v="357"/>
    <n v="863397.26"/>
    <n v="0.99"/>
    <n v="16"/>
    <n v="23"/>
    <n v="123.51"/>
    <n v="146.19"/>
    <n v="16.22"/>
    <x v="1"/>
    <n v="-130.19"/>
    <n v="6.78"/>
    <n v="6.68"/>
    <n v="2418.48"/>
    <n v="16161.06"/>
    <n v="2385.08"/>
    <n v="4.26"/>
    <n v="71.38"/>
    <n v="9734.3700000000008"/>
    <n v="8188.98"/>
    <n v="168.87"/>
  </r>
  <r>
    <x v="86"/>
    <n v="11.47"/>
    <n v="260"/>
    <n v="613710.67000000004"/>
    <n v="0.85"/>
    <n v="22"/>
    <n v="17"/>
    <n v="78.03"/>
    <n v="92.43"/>
    <n v="25.98"/>
    <x v="0"/>
    <n v="-70.430000000000007"/>
    <n v="0"/>
    <n v="0"/>
    <n v="2360.4299999999998"/>
    <n v="0"/>
    <n v="1999.06"/>
    <n v="0"/>
    <n v="71.38"/>
    <n v="26"/>
    <n v="78"/>
    <n v="106.83"/>
  </r>
  <r>
    <x v="87"/>
    <n v="11.7"/>
    <n v="150"/>
    <n v="538156.5"/>
    <n v="0.44"/>
    <n v="18"/>
    <n v="21"/>
    <n v="88.5"/>
    <n v="97.69"/>
    <n v="41.16"/>
    <x v="0"/>
    <n v="-79.69"/>
    <n v="0"/>
    <n v="0"/>
    <n v="3587.71"/>
    <n v="0"/>
    <n v="1568.97"/>
    <n v="0"/>
    <n v="71.38"/>
    <n v="15"/>
    <n v="45"/>
    <n v="106.87"/>
  </r>
  <r>
    <x v="88"/>
    <n v="15.21"/>
    <n v="390"/>
    <n v="1445192.74"/>
    <n v="1.0900000000000001"/>
    <n v="16"/>
    <n v="20"/>
    <n v="112.24"/>
    <n v="133.97"/>
    <n v="14.73"/>
    <x v="1"/>
    <n v="-117.97"/>
    <n v="5.27"/>
    <n v="5.73"/>
    <n v="3705.62"/>
    <n v="21222.17"/>
    <n v="4025.61"/>
    <n v="5.6"/>
    <n v="76.98"/>
    <n v="12773.88"/>
    <n v="10729.14"/>
    <n v="155.69"/>
  </r>
  <r>
    <x v="89"/>
    <n v="15.49"/>
    <n v="590"/>
    <n v="1819857.91"/>
    <n v="1.63"/>
    <n v="28"/>
    <n v="22"/>
    <n v="119.88"/>
    <n v="155.74"/>
    <n v="17.18"/>
    <x v="1"/>
    <n v="-127.74"/>
    <n v="4.82"/>
    <n v="7.86"/>
    <n v="3084.5"/>
    <n v="24232.959999999999"/>
    <n v="5027.2299999999996"/>
    <n v="6.39"/>
    <n v="83.38"/>
    <n v="14600.22"/>
    <n v="12294.44"/>
    <n v="191.59"/>
  </r>
  <r>
    <x v="90"/>
    <n v="11.84"/>
    <n v="158"/>
    <n v="482502.68"/>
    <n v="0.79"/>
    <n v="20"/>
    <n v="23"/>
    <n v="93.73"/>
    <n v="111.99"/>
    <n v="25.19"/>
    <x v="0"/>
    <n v="-91.99"/>
    <n v="0"/>
    <n v="0"/>
    <n v="3053.81"/>
    <n v="0"/>
    <n v="2424.64"/>
    <n v="0"/>
    <n v="83.38"/>
    <n v="15.8"/>
    <n v="47.4"/>
    <n v="130.25"/>
  </r>
  <r>
    <x v="91"/>
    <n v="14.07"/>
    <n v="548"/>
    <n v="1738987.88"/>
    <n v="1.67"/>
    <n v="20"/>
    <n v="19"/>
    <n v="101.21"/>
    <n v="132.94999999999999"/>
    <n v="11.97"/>
    <x v="1"/>
    <n v="-112.95"/>
    <n v="7.03"/>
    <n v="11.74"/>
    <n v="3173.34"/>
    <n v="37267.339999999997"/>
    <n v="5301.79"/>
    <n v="9.83"/>
    <n v="93.21"/>
    <n v="22417.31"/>
    <n v="18799.48"/>
    <n v="164.7"/>
  </r>
  <r>
    <x v="92"/>
    <n v="13.06"/>
    <n v="304"/>
    <n v="614948.63"/>
    <n v="1.41"/>
    <n v="24"/>
    <n v="15"/>
    <n v="83.48"/>
    <n v="104.59"/>
    <n v="17.05"/>
    <x v="0"/>
    <n v="-80.59"/>
    <n v="0"/>
    <n v="0"/>
    <n v="2022.86"/>
    <n v="0"/>
    <n v="2846.98"/>
    <n v="0"/>
    <n v="93.21"/>
    <n v="30.4"/>
    <n v="91.2"/>
    <n v="125.7"/>
  </r>
  <r>
    <x v="93"/>
    <n v="17.079999999999998"/>
    <n v="238"/>
    <n v="712311.23"/>
    <n v="0.67"/>
    <n v="18"/>
    <n v="17"/>
    <n v="116.18"/>
    <n v="127.55"/>
    <n v="26.92"/>
    <x v="0"/>
    <n v="-109.55"/>
    <n v="0"/>
    <n v="0"/>
    <n v="2992.9"/>
    <n v="0"/>
    <n v="2000.87"/>
    <n v="0"/>
    <n v="93.21"/>
    <n v="23.8"/>
    <n v="71.400000000000006"/>
    <n v="138.91"/>
  </r>
  <r>
    <x v="94"/>
    <n v="13.44"/>
    <n v="199"/>
    <n v="450546.95"/>
    <n v="0.71"/>
    <n v="20"/>
    <n v="24"/>
    <n v="108.61"/>
    <n v="125.61"/>
    <n v="28.24"/>
    <x v="0"/>
    <n v="-105.61"/>
    <n v="0"/>
    <n v="0"/>
    <n v="2264.06"/>
    <n v="0"/>
    <n v="1603.37"/>
    <n v="0"/>
    <n v="93.21"/>
    <n v="19.899999999999999"/>
    <n v="59.7"/>
    <n v="142.61000000000001"/>
  </r>
  <r>
    <x v="95"/>
    <n v="12.89"/>
    <n v="341"/>
    <n v="865465.68"/>
    <n v="1.1000000000000001"/>
    <n v="27"/>
    <n v="22"/>
    <n v="99.72"/>
    <n v="123.84"/>
    <n v="24.62"/>
    <x v="0"/>
    <n v="-96.84"/>
    <n v="0"/>
    <n v="0"/>
    <n v="2538.02"/>
    <n v="0"/>
    <n v="2782.85"/>
    <n v="0"/>
    <n v="93.21"/>
    <n v="34.1"/>
    <n v="102.3"/>
    <n v="147.96"/>
  </r>
  <r>
    <x v="96"/>
    <n v="16.73"/>
    <n v="215"/>
    <n v="738643.22"/>
    <n v="0.79"/>
    <n v="29"/>
    <n v="20"/>
    <n v="123.44"/>
    <n v="139.25"/>
    <n v="36.69"/>
    <x v="0"/>
    <n v="-110.25"/>
    <n v="0"/>
    <n v="0"/>
    <n v="3435.55"/>
    <n v="0"/>
    <n v="2715.6"/>
    <n v="0"/>
    <n v="93.21"/>
    <n v="21.5"/>
    <n v="64.5"/>
    <n v="155.06"/>
  </r>
  <r>
    <x v="97"/>
    <n v="9.5399999999999991"/>
    <n v="126"/>
    <n v="320386.09000000003"/>
    <n v="0.43"/>
    <n v="16"/>
    <n v="22"/>
    <n v="73.83"/>
    <n v="83.32"/>
    <n v="37.08"/>
    <x v="0"/>
    <n v="-67.319999999999993"/>
    <n v="0"/>
    <n v="0"/>
    <n v="2542.75"/>
    <n v="0"/>
    <n v="1097.21"/>
    <n v="0"/>
    <n v="93.21"/>
    <n v="12.6"/>
    <n v="37.799999999999997"/>
    <n v="92.81"/>
  </r>
  <r>
    <x v="98"/>
    <n v="12.07"/>
    <n v="502"/>
    <n v="1635859.89"/>
    <n v="1.39"/>
    <n v="24"/>
    <n v="23"/>
    <n v="95.53"/>
    <n v="127.43"/>
    <n v="17.309999999999999"/>
    <x v="1"/>
    <n v="-103.43"/>
    <n v="5.69"/>
    <n v="7.9"/>
    <n v="3258.69"/>
    <n v="25727.41"/>
    <n v="4518.95"/>
    <n v="6.79"/>
    <n v="100"/>
    <n v="15488.35"/>
    <n v="13015.44"/>
    <n v="159.32"/>
  </r>
  <r>
    <x v="99"/>
    <n v="14.54"/>
    <n v="239"/>
    <n v="653313.62"/>
    <n v="0.79"/>
    <n v="26"/>
    <n v="18"/>
    <n v="101.81"/>
    <n v="116.11"/>
    <n v="32.74"/>
    <x v="0"/>
    <n v="-90.11"/>
    <n v="0"/>
    <n v="0"/>
    <n v="2733.53"/>
    <n v="0"/>
    <n v="2170.48"/>
    <n v="0"/>
    <n v="100"/>
    <n v="23.9"/>
    <n v="71.7"/>
    <n v="13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D0636-AC99-4409-B7C8-18A27C884459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ID ">
  <location ref="O3:Q24" firstHeaderRow="0" firstDataRow="1" firstDataCol="1" rowPageCount="1" colPageCount="1"/>
  <pivotFields count="22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1">
    <i>
      <x v="1"/>
    </i>
    <i>
      <x v="7"/>
    </i>
    <i>
      <x v="16"/>
    </i>
    <i>
      <x v="18"/>
    </i>
    <i>
      <x v="29"/>
    </i>
    <i>
      <x v="32"/>
    </i>
    <i>
      <x v="52"/>
    </i>
    <i>
      <x v="53"/>
    </i>
    <i>
      <x v="57"/>
    </i>
    <i>
      <x v="61"/>
    </i>
    <i>
      <x v="62"/>
    </i>
    <i>
      <x v="66"/>
    </i>
    <i>
      <x v="72"/>
    </i>
    <i>
      <x v="78"/>
    </i>
    <i>
      <x v="83"/>
    </i>
    <i>
      <x v="85"/>
    </i>
    <i>
      <x v="88"/>
    </i>
    <i>
      <x v="89"/>
    </i>
    <i>
      <x v="91"/>
    </i>
    <i>
      <x v="98"/>
    </i>
    <i t="grand">
      <x/>
    </i>
  </rowItems>
  <colFields count="1">
    <field x="-2"/>
  </colFields>
  <colItems count="2">
    <i>
      <x/>
    </i>
    <i i="1">
      <x v="1"/>
    </i>
  </colItems>
  <pageFields count="1">
    <pageField fld="10" item="1" hier="-1"/>
  </pageFields>
  <dataFields count="2">
    <dataField name="INITIAL INVENTORY" fld="5" baseField="0" baseItem="1"/>
    <dataField name="RECALCULATED INITIAL INVENTORY" fld="21" baseField="0" baseItem="1"/>
  </dataFields>
  <formats count="14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1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5B967-7A62-4F8F-8EC9-902EAA168C1A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 ID">
  <location ref="F3:M23" firstHeaderRow="0" firstDataRow="1" firstDataCol="1" rowPageCount="1" colPageCount="1"/>
  <pivotFields count="22">
    <pivotField axis="axisRow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name="RISK FLAG"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0">
    <i>
      <x v="18"/>
    </i>
    <i>
      <x v="91"/>
    </i>
    <i>
      <x v="72"/>
    </i>
    <i>
      <x v="57"/>
    </i>
    <i>
      <x v="98"/>
    </i>
    <i>
      <x v="61"/>
    </i>
    <i>
      <x v="89"/>
    </i>
    <i>
      <x v="66"/>
    </i>
    <i>
      <x v="88"/>
    </i>
    <i>
      <x v="62"/>
    </i>
    <i>
      <x v="85"/>
    </i>
    <i>
      <x v="29"/>
    </i>
    <i>
      <x v="32"/>
    </i>
    <i>
      <x v="52"/>
    </i>
    <i>
      <x v="1"/>
    </i>
    <i>
      <x v="7"/>
    </i>
    <i>
      <x v="83"/>
    </i>
    <i>
      <x v="53"/>
    </i>
    <i>
      <x v="78"/>
    </i>
    <i>
      <x v="16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0" item="1" hier="-1"/>
  </pageFields>
  <dataFields count="7">
    <dataField name="REVENUE IN RISK" fld="15" baseField="0" baseItem="0"/>
    <dataField name="ROP GAP" fld="11" baseField="0" baseItem="0"/>
    <dataField name="COVERAGE DAYS" fld="9" baseField="0" baseItem="0"/>
    <dataField name="LEAD TIME (DAYS)" fld="6" baseField="0" baseItem="0"/>
    <dataField name="DEMAND VOLATILITY " fld="1" baseField="0" baseItem="0"/>
    <dataField name="INITIAL INVENTORY" fld="5" baseField="0" baseItem="0"/>
    <dataField name="PRIORITY SCORE" fld="20" baseField="0" baseItem="0"/>
  </dataFields>
  <formats count="19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2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4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6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5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0" count="20">
            <x v="1"/>
            <x v="7"/>
            <x v="16"/>
            <x v="18"/>
            <x v="29"/>
            <x v="32"/>
            <x v="52"/>
            <x v="53"/>
            <x v="57"/>
            <x v="61"/>
            <x v="62"/>
            <x v="66"/>
            <x v="72"/>
            <x v="78"/>
            <x v="83"/>
            <x v="85"/>
            <x v="88"/>
            <x v="89"/>
            <x v="91"/>
            <x v="98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0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KU_PARAMS1" connectionId="1" xr16:uid="{58CB56A9-A209-43EE-8C96-3CFB12C00EF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537D-BF96-4456-AA02-2A78EBA92F0D}">
  <dimension ref="B1:B16"/>
  <sheetViews>
    <sheetView workbookViewId="0">
      <selection activeCell="B10" sqref="B10"/>
    </sheetView>
  </sheetViews>
  <sheetFormatPr defaultRowHeight="15" x14ac:dyDescent="0.25"/>
  <cols>
    <col min="2" max="2" width="65" style="22" customWidth="1"/>
    <col min="4" max="4" width="10.140625" customWidth="1"/>
  </cols>
  <sheetData>
    <row r="1" spans="2:2" x14ac:dyDescent="0.25">
      <c r="B1" s="23" t="s">
        <v>52</v>
      </c>
    </row>
    <row r="2" spans="2:2" x14ac:dyDescent="0.25">
      <c r="B2" s="24"/>
    </row>
    <row r="3" spans="2:2" ht="30" x14ac:dyDescent="0.25">
      <c r="B3" s="24" t="s">
        <v>53</v>
      </c>
    </row>
    <row r="4" spans="2:2" x14ac:dyDescent="0.25">
      <c r="B4" s="24"/>
    </row>
    <row r="5" spans="2:2" ht="30" x14ac:dyDescent="0.25">
      <c r="B5" s="24" t="s">
        <v>54</v>
      </c>
    </row>
    <row r="6" spans="2:2" x14ac:dyDescent="0.25">
      <c r="B6" s="24"/>
    </row>
    <row r="7" spans="2:2" x14ac:dyDescent="0.25">
      <c r="B7" s="25" t="s">
        <v>55</v>
      </c>
    </row>
    <row r="8" spans="2:2" x14ac:dyDescent="0.25">
      <c r="B8" s="24" t="s">
        <v>56</v>
      </c>
    </row>
    <row r="9" spans="2:2" ht="30" x14ac:dyDescent="0.25">
      <c r="B9" s="24" t="s">
        <v>57</v>
      </c>
    </row>
    <row r="10" spans="2:2" x14ac:dyDescent="0.25">
      <c r="B10" s="24" t="s">
        <v>58</v>
      </c>
    </row>
    <row r="11" spans="2:2" x14ac:dyDescent="0.25">
      <c r="B11" s="24" t="s">
        <v>59</v>
      </c>
    </row>
    <row r="12" spans="2:2" x14ac:dyDescent="0.25">
      <c r="B12" s="24" t="s">
        <v>60</v>
      </c>
    </row>
    <row r="13" spans="2:2" x14ac:dyDescent="0.25">
      <c r="B13" s="24"/>
    </row>
    <row r="14" spans="2:2" ht="45" x14ac:dyDescent="0.25">
      <c r="B14" s="25" t="s">
        <v>61</v>
      </c>
    </row>
    <row r="15" spans="2:2" x14ac:dyDescent="0.25">
      <c r="B15" s="24"/>
    </row>
    <row r="16" spans="2:2" ht="30" x14ac:dyDescent="0.25">
      <c r="B16" s="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41F8-4BEB-4A3D-AA58-0A0B704BD2BE}">
  <dimension ref="B1:R24"/>
  <sheetViews>
    <sheetView topLeftCell="K1" zoomScale="97" zoomScaleNormal="100" workbookViewId="0">
      <selection activeCell="F3" sqref="F3"/>
    </sheetView>
  </sheetViews>
  <sheetFormatPr defaultRowHeight="15" x14ac:dyDescent="0.25"/>
  <cols>
    <col min="3" max="3" width="28.7109375" customWidth="1"/>
    <col min="4" max="4" width="40.85546875" customWidth="1"/>
    <col min="6" max="6" width="14.7109375" bestFit="1" customWidth="1"/>
    <col min="7" max="7" width="16.7109375" bestFit="1" customWidth="1"/>
    <col min="8" max="8" width="9" bestFit="1" customWidth="1"/>
    <col min="9" max="9" width="16.5703125" bestFit="1" customWidth="1"/>
    <col min="10" max="10" width="17.42578125" bestFit="1" customWidth="1"/>
    <col min="11" max="11" width="20.28515625" bestFit="1" customWidth="1"/>
    <col min="12" max="12" width="18.5703125" bestFit="1" customWidth="1"/>
    <col min="13" max="13" width="16.42578125" bestFit="1" customWidth="1"/>
    <col min="15" max="15" width="21.5703125" customWidth="1"/>
    <col min="16" max="16" width="20.7109375" customWidth="1"/>
    <col min="17" max="17" width="31.42578125" customWidth="1"/>
    <col min="18" max="18" width="17.140625" customWidth="1"/>
  </cols>
  <sheetData>
    <row r="1" spans="2:18" x14ac:dyDescent="0.25">
      <c r="F1" s="3" t="s">
        <v>51</v>
      </c>
      <c r="G1" s="1" t="s">
        <v>1</v>
      </c>
      <c r="H1" s="14"/>
      <c r="I1" s="15"/>
      <c r="J1" s="15"/>
      <c r="K1" s="15"/>
      <c r="L1" s="15"/>
      <c r="M1" s="16"/>
      <c r="O1" s="27" t="s">
        <v>0</v>
      </c>
      <c r="P1" s="27" t="s">
        <v>1</v>
      </c>
      <c r="Q1" s="14"/>
      <c r="R1" s="16"/>
    </row>
    <row r="2" spans="2:18" x14ac:dyDescent="0.25">
      <c r="B2" s="31" t="s">
        <v>3</v>
      </c>
      <c r="C2" s="32"/>
      <c r="D2" s="32"/>
      <c r="F2" s="18" t="s">
        <v>50</v>
      </c>
      <c r="G2" s="15"/>
      <c r="H2" s="15"/>
      <c r="I2" s="15"/>
      <c r="J2" s="15"/>
      <c r="K2" s="15"/>
      <c r="L2" s="15"/>
      <c r="M2" s="16"/>
      <c r="O2" s="28" t="s">
        <v>19</v>
      </c>
      <c r="P2" s="29"/>
      <c r="Q2" s="29"/>
      <c r="R2" s="30"/>
    </row>
    <row r="3" spans="2:18" x14ac:dyDescent="0.25">
      <c r="B3" s="11" t="s">
        <v>4</v>
      </c>
      <c r="C3" s="11"/>
      <c r="D3" s="1">
        <v>100</v>
      </c>
      <c r="F3" s="3" t="s">
        <v>9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13</v>
      </c>
      <c r="M3" s="1" t="s">
        <v>49</v>
      </c>
      <c r="O3" s="3" t="s">
        <v>10</v>
      </c>
      <c r="P3" s="3" t="s">
        <v>13</v>
      </c>
      <c r="Q3" s="1" t="s">
        <v>18</v>
      </c>
      <c r="R3" s="8" t="s">
        <v>20</v>
      </c>
    </row>
    <row r="4" spans="2:18" x14ac:dyDescent="0.25">
      <c r="B4" s="11" t="s">
        <v>5</v>
      </c>
      <c r="C4" s="11"/>
      <c r="D4" s="1">
        <v>20</v>
      </c>
      <c r="F4" s="4">
        <v>1019</v>
      </c>
      <c r="G4" s="20">
        <v>45448.78</v>
      </c>
      <c r="H4" s="13">
        <v>-99.23</v>
      </c>
      <c r="I4" s="17">
        <v>12.62</v>
      </c>
      <c r="J4" s="13">
        <v>22</v>
      </c>
      <c r="K4" s="17">
        <v>10.71</v>
      </c>
      <c r="L4" s="19">
        <v>22</v>
      </c>
      <c r="M4" s="17">
        <v>22833.97</v>
      </c>
      <c r="O4" s="4">
        <v>1002</v>
      </c>
      <c r="P4" s="5">
        <v>18</v>
      </c>
      <c r="Q4" s="7">
        <v>122.5</v>
      </c>
      <c r="R4" s="1" cm="1">
        <f t="array" ref="R4:R23">Q4:Q23-P4:P23</f>
        <v>104.5</v>
      </c>
    </row>
    <row r="5" spans="2:18" x14ac:dyDescent="0.25">
      <c r="B5" s="11" t="s">
        <v>6</v>
      </c>
      <c r="C5" s="11"/>
      <c r="D5" s="33">
        <v>378957.1999999999</v>
      </c>
      <c r="F5" s="4">
        <v>1092</v>
      </c>
      <c r="G5" s="21">
        <v>37267.339999999997</v>
      </c>
      <c r="H5" s="13">
        <v>-112.95</v>
      </c>
      <c r="I5" s="17">
        <v>11.97</v>
      </c>
      <c r="J5" s="13">
        <v>19</v>
      </c>
      <c r="K5" s="17">
        <v>14.07</v>
      </c>
      <c r="L5" s="19">
        <v>20</v>
      </c>
      <c r="M5" s="17">
        <v>18799.48</v>
      </c>
      <c r="O5" s="4">
        <v>1008</v>
      </c>
      <c r="P5" s="5">
        <v>19</v>
      </c>
      <c r="Q5" s="7">
        <v>102.95</v>
      </c>
      <c r="R5" s="1">
        <v>83.95</v>
      </c>
    </row>
    <row r="6" spans="2:18" x14ac:dyDescent="0.25">
      <c r="B6" s="11" t="s">
        <v>7</v>
      </c>
      <c r="C6" s="11"/>
      <c r="D6" s="2">
        <v>0.74</v>
      </c>
      <c r="F6" s="4">
        <v>1073</v>
      </c>
      <c r="G6" s="21">
        <v>30421.52</v>
      </c>
      <c r="H6" s="13">
        <v>-67.67</v>
      </c>
      <c r="I6" s="17">
        <v>14.63</v>
      </c>
      <c r="J6" s="13">
        <v>23</v>
      </c>
      <c r="K6" s="17">
        <v>7.25</v>
      </c>
      <c r="L6" s="19">
        <v>18</v>
      </c>
      <c r="M6" s="17">
        <v>15295.83</v>
      </c>
      <c r="O6" s="4">
        <v>1017</v>
      </c>
      <c r="P6" s="5">
        <v>18</v>
      </c>
      <c r="Q6" s="7">
        <v>141.68</v>
      </c>
      <c r="R6" s="1">
        <v>123.68</v>
      </c>
    </row>
    <row r="7" spans="2:18" x14ac:dyDescent="0.25">
      <c r="B7" s="11" t="s">
        <v>8</v>
      </c>
      <c r="C7" s="11"/>
      <c r="D7" s="9" t="s">
        <v>21</v>
      </c>
      <c r="F7" s="4">
        <v>1058</v>
      </c>
      <c r="G7" s="21">
        <v>26189.88</v>
      </c>
      <c r="H7" s="13">
        <v>-143.65</v>
      </c>
      <c r="I7" s="17">
        <v>16.350000000000001</v>
      </c>
      <c r="J7" s="13">
        <v>24</v>
      </c>
      <c r="K7" s="17">
        <v>16.559999999999999</v>
      </c>
      <c r="L7" s="19">
        <v>21</v>
      </c>
      <c r="M7" s="17">
        <v>13232.07</v>
      </c>
      <c r="O7" s="4">
        <v>1019</v>
      </c>
      <c r="P7" s="5">
        <v>22</v>
      </c>
      <c r="Q7" s="7">
        <v>159.57</v>
      </c>
      <c r="R7" s="1">
        <v>137.57</v>
      </c>
    </row>
    <row r="8" spans="2:18" x14ac:dyDescent="0.25">
      <c r="B8" s="11" t="s">
        <v>11</v>
      </c>
      <c r="C8" s="11"/>
      <c r="D8" s="10" t="s">
        <v>12</v>
      </c>
      <c r="F8" s="4">
        <v>1099</v>
      </c>
      <c r="G8" s="21">
        <v>25727.41</v>
      </c>
      <c r="H8" s="13">
        <v>-103.43</v>
      </c>
      <c r="I8" s="17">
        <v>17.309999999999999</v>
      </c>
      <c r="J8" s="13">
        <v>23</v>
      </c>
      <c r="K8" s="17">
        <v>12.07</v>
      </c>
      <c r="L8" s="19">
        <v>24</v>
      </c>
      <c r="M8" s="17">
        <v>13015.44</v>
      </c>
      <c r="O8" s="4">
        <v>1030</v>
      </c>
      <c r="P8" s="5">
        <v>19</v>
      </c>
      <c r="Q8" s="7">
        <v>178.3</v>
      </c>
      <c r="R8" s="1">
        <v>159.30000000000001</v>
      </c>
    </row>
    <row r="9" spans="2:18" x14ac:dyDescent="0.25">
      <c r="B9" s="11" t="s">
        <v>22</v>
      </c>
      <c r="C9" s="11"/>
      <c r="D9" s="1">
        <v>104</v>
      </c>
      <c r="F9" s="4">
        <v>1062</v>
      </c>
      <c r="G9" s="21">
        <v>25605.11</v>
      </c>
      <c r="H9" s="13">
        <v>-116.6</v>
      </c>
      <c r="I9" s="17">
        <v>10.72</v>
      </c>
      <c r="J9" s="13">
        <v>18</v>
      </c>
      <c r="K9" s="17">
        <v>15.1</v>
      </c>
      <c r="L9" s="19">
        <v>16</v>
      </c>
      <c r="M9" s="17">
        <v>12955.81</v>
      </c>
      <c r="O9" s="4">
        <v>1033</v>
      </c>
      <c r="P9" s="5">
        <v>24</v>
      </c>
      <c r="Q9" s="7">
        <v>171.93</v>
      </c>
      <c r="R9" s="1">
        <v>147.93</v>
      </c>
    </row>
    <row r="10" spans="2:18" x14ac:dyDescent="0.25">
      <c r="B10" s="12" t="s">
        <v>14</v>
      </c>
      <c r="C10" s="12"/>
      <c r="D10" s="6" t="s">
        <v>17</v>
      </c>
      <c r="F10" s="4">
        <v>1090</v>
      </c>
      <c r="G10" s="21">
        <v>24232.959999999999</v>
      </c>
      <c r="H10" s="13">
        <v>-127.74</v>
      </c>
      <c r="I10" s="17">
        <v>17.18</v>
      </c>
      <c r="J10" s="13">
        <v>22</v>
      </c>
      <c r="K10" s="17">
        <v>15.49</v>
      </c>
      <c r="L10" s="19">
        <v>28</v>
      </c>
      <c r="M10" s="17">
        <v>12294.44</v>
      </c>
      <c r="O10" s="4">
        <v>1053</v>
      </c>
      <c r="P10" s="5">
        <v>18</v>
      </c>
      <c r="Q10" s="7">
        <v>193.96</v>
      </c>
      <c r="R10" s="1">
        <v>175.96</v>
      </c>
    </row>
    <row r="11" spans="2:18" x14ac:dyDescent="0.25">
      <c r="B11" s="12"/>
      <c r="C11" s="12"/>
      <c r="D11" s="1" t="s">
        <v>15</v>
      </c>
      <c r="F11" s="4">
        <v>1067</v>
      </c>
      <c r="G11" s="21">
        <v>22792.65</v>
      </c>
      <c r="H11" s="13">
        <v>-100.1</v>
      </c>
      <c r="I11" s="17">
        <v>11.63</v>
      </c>
      <c r="J11" s="13">
        <v>18</v>
      </c>
      <c r="K11" s="17">
        <v>13.05</v>
      </c>
      <c r="L11" s="19">
        <v>16</v>
      </c>
      <c r="M11" s="17">
        <v>11497.5</v>
      </c>
      <c r="O11" s="4">
        <v>1054</v>
      </c>
      <c r="P11" s="5">
        <v>23</v>
      </c>
      <c r="Q11" s="7">
        <v>166.4</v>
      </c>
      <c r="R11" s="1">
        <v>143.4</v>
      </c>
    </row>
    <row r="12" spans="2:18" x14ac:dyDescent="0.25">
      <c r="B12" s="12"/>
      <c r="C12" s="12"/>
      <c r="D12" s="1" t="s">
        <v>16</v>
      </c>
      <c r="F12" s="4">
        <v>1089</v>
      </c>
      <c r="G12" s="21">
        <v>21222.17</v>
      </c>
      <c r="H12" s="13">
        <v>-117.97</v>
      </c>
      <c r="I12" s="17">
        <v>14.73</v>
      </c>
      <c r="J12" s="13">
        <v>20</v>
      </c>
      <c r="K12" s="17">
        <v>15.21</v>
      </c>
      <c r="L12" s="19">
        <v>16</v>
      </c>
      <c r="M12" s="17">
        <v>10729.14</v>
      </c>
      <c r="O12" s="4">
        <v>1058</v>
      </c>
      <c r="P12" s="5">
        <v>21</v>
      </c>
      <c r="Q12" s="7">
        <v>195.47</v>
      </c>
      <c r="R12" s="1">
        <v>174.47</v>
      </c>
    </row>
    <row r="13" spans="2:18" x14ac:dyDescent="0.25">
      <c r="F13" s="4">
        <v>1063</v>
      </c>
      <c r="G13" s="21">
        <v>20472.78</v>
      </c>
      <c r="H13" s="13">
        <v>-108.57</v>
      </c>
      <c r="I13" s="17">
        <v>12.88</v>
      </c>
      <c r="J13" s="13">
        <v>18</v>
      </c>
      <c r="K13" s="17">
        <v>14.49</v>
      </c>
      <c r="L13" s="19">
        <v>18</v>
      </c>
      <c r="M13" s="17">
        <v>10349.32</v>
      </c>
      <c r="O13" s="4">
        <v>1062</v>
      </c>
      <c r="P13" s="5">
        <v>16</v>
      </c>
      <c r="Q13" s="7">
        <v>159.47</v>
      </c>
      <c r="R13" s="1">
        <v>143.47</v>
      </c>
    </row>
    <row r="14" spans="2:18" x14ac:dyDescent="0.25">
      <c r="F14" s="4">
        <v>1086</v>
      </c>
      <c r="G14" s="21">
        <v>16161.06</v>
      </c>
      <c r="H14" s="13">
        <v>-130.19</v>
      </c>
      <c r="I14" s="17">
        <v>16.22</v>
      </c>
      <c r="J14" s="13">
        <v>23</v>
      </c>
      <c r="K14" s="17">
        <v>15.61</v>
      </c>
      <c r="L14" s="19">
        <v>16</v>
      </c>
      <c r="M14" s="17">
        <v>8188.98</v>
      </c>
      <c r="O14" s="4">
        <v>1063</v>
      </c>
      <c r="P14" s="5">
        <v>18</v>
      </c>
      <c r="Q14" s="7">
        <v>151.71</v>
      </c>
      <c r="R14" s="1">
        <v>133.71</v>
      </c>
    </row>
    <row r="15" spans="2:18" x14ac:dyDescent="0.25">
      <c r="F15" s="4">
        <v>1030</v>
      </c>
      <c r="G15" s="21">
        <v>16153.45</v>
      </c>
      <c r="H15" s="13">
        <v>-135.46</v>
      </c>
      <c r="I15" s="17">
        <v>19.13</v>
      </c>
      <c r="J15" s="13">
        <v>24</v>
      </c>
      <c r="K15" s="17">
        <v>16.16</v>
      </c>
      <c r="L15" s="19">
        <v>19</v>
      </c>
      <c r="M15" s="17">
        <v>8165.6</v>
      </c>
      <c r="O15" s="4">
        <v>1067</v>
      </c>
      <c r="P15" s="5">
        <v>16</v>
      </c>
      <c r="Q15" s="7">
        <v>140.87</v>
      </c>
      <c r="R15" s="1">
        <v>124.87</v>
      </c>
    </row>
    <row r="16" spans="2:18" x14ac:dyDescent="0.25">
      <c r="F16" s="4">
        <v>1033</v>
      </c>
      <c r="G16" s="21">
        <v>14478.81</v>
      </c>
      <c r="H16" s="13">
        <v>-117.96</v>
      </c>
      <c r="I16" s="17">
        <v>18.420000000000002</v>
      </c>
      <c r="J16" s="13">
        <v>23</v>
      </c>
      <c r="K16" s="17">
        <v>14.15</v>
      </c>
      <c r="L16" s="19">
        <v>24</v>
      </c>
      <c r="M16" s="17">
        <v>7361.52</v>
      </c>
      <c r="O16" s="4">
        <v>1073</v>
      </c>
      <c r="P16" s="5">
        <v>18</v>
      </c>
      <c r="Q16" s="7">
        <v>113.96</v>
      </c>
      <c r="R16" s="1">
        <v>95.96</v>
      </c>
    </row>
    <row r="17" spans="6:18" x14ac:dyDescent="0.25">
      <c r="F17" s="4">
        <v>1053</v>
      </c>
      <c r="G17" s="21">
        <v>12201.31</v>
      </c>
      <c r="H17" s="13">
        <v>-153.88</v>
      </c>
      <c r="I17" s="17">
        <v>19.57</v>
      </c>
      <c r="J17" s="13">
        <v>24</v>
      </c>
      <c r="K17" s="17">
        <v>18.53</v>
      </c>
      <c r="L17" s="19">
        <v>18</v>
      </c>
      <c r="M17" s="17">
        <v>6194.24</v>
      </c>
      <c r="O17" s="4">
        <v>1079</v>
      </c>
      <c r="P17" s="5">
        <v>27</v>
      </c>
      <c r="Q17" s="7">
        <v>194.6</v>
      </c>
      <c r="R17" s="1">
        <v>167.6</v>
      </c>
    </row>
    <row r="18" spans="6:18" x14ac:dyDescent="0.25">
      <c r="F18" s="4">
        <v>1002</v>
      </c>
      <c r="G18" s="21">
        <v>10655.86</v>
      </c>
      <c r="H18" s="13">
        <v>-82.1</v>
      </c>
      <c r="I18" s="17">
        <v>19.29</v>
      </c>
      <c r="J18" s="13">
        <v>24</v>
      </c>
      <c r="K18" s="17">
        <v>9.61</v>
      </c>
      <c r="L18" s="19">
        <v>18</v>
      </c>
      <c r="M18" s="17">
        <v>5421.27</v>
      </c>
      <c r="O18" s="4">
        <v>1084</v>
      </c>
      <c r="P18" s="5">
        <v>15</v>
      </c>
      <c r="Q18" s="7">
        <v>126.05</v>
      </c>
      <c r="R18" s="1">
        <v>111.05</v>
      </c>
    </row>
    <row r="19" spans="6:18" x14ac:dyDescent="0.25">
      <c r="F19" s="4">
        <v>1008</v>
      </c>
      <c r="G19" s="21">
        <v>7632.3</v>
      </c>
      <c r="H19" s="13">
        <v>-62.11</v>
      </c>
      <c r="I19" s="17">
        <v>16.53</v>
      </c>
      <c r="J19" s="13">
        <v>19</v>
      </c>
      <c r="K19" s="17">
        <v>8.24</v>
      </c>
      <c r="L19" s="19">
        <v>19</v>
      </c>
      <c r="M19" s="17">
        <v>3938.74</v>
      </c>
      <c r="O19" s="4">
        <v>1086</v>
      </c>
      <c r="P19" s="5">
        <v>16</v>
      </c>
      <c r="Q19" s="7">
        <v>168.87</v>
      </c>
      <c r="R19" s="1">
        <v>152.87</v>
      </c>
    </row>
    <row r="20" spans="6:18" x14ac:dyDescent="0.25">
      <c r="F20" s="4">
        <v>1084</v>
      </c>
      <c r="G20" s="21">
        <v>7394.13</v>
      </c>
      <c r="H20" s="13">
        <v>-92.96</v>
      </c>
      <c r="I20" s="17">
        <v>19.07</v>
      </c>
      <c r="J20" s="13">
        <v>23</v>
      </c>
      <c r="K20" s="17">
        <v>11.36</v>
      </c>
      <c r="L20" s="19">
        <v>15</v>
      </c>
      <c r="M20" s="17">
        <v>3771.95</v>
      </c>
      <c r="O20" s="4">
        <v>1089</v>
      </c>
      <c r="P20" s="5">
        <v>16</v>
      </c>
      <c r="Q20" s="7">
        <v>155.69</v>
      </c>
      <c r="R20" s="1">
        <v>139.69</v>
      </c>
    </row>
    <row r="21" spans="6:18" x14ac:dyDescent="0.25">
      <c r="F21" s="4">
        <v>1054</v>
      </c>
      <c r="G21" s="21">
        <v>7013.9</v>
      </c>
      <c r="H21" s="13">
        <v>-118.46</v>
      </c>
      <c r="I21" s="17">
        <v>19.36</v>
      </c>
      <c r="J21" s="13">
        <v>21</v>
      </c>
      <c r="K21" s="17">
        <v>15.41</v>
      </c>
      <c r="L21" s="19">
        <v>23</v>
      </c>
      <c r="M21" s="17">
        <v>3611.68</v>
      </c>
      <c r="O21" s="4">
        <v>1090</v>
      </c>
      <c r="P21" s="5">
        <v>28</v>
      </c>
      <c r="Q21" s="7">
        <v>191.59</v>
      </c>
      <c r="R21" s="1">
        <v>163.59</v>
      </c>
    </row>
    <row r="22" spans="6:18" x14ac:dyDescent="0.25">
      <c r="F22" s="4">
        <v>1079</v>
      </c>
      <c r="G22" s="21">
        <v>4181.8999999999996</v>
      </c>
      <c r="H22" s="13">
        <v>-138.09</v>
      </c>
      <c r="I22" s="17">
        <v>21.05</v>
      </c>
      <c r="J22" s="13">
        <v>23</v>
      </c>
      <c r="K22" s="17">
        <v>17.13</v>
      </c>
      <c r="L22" s="19">
        <v>27</v>
      </c>
      <c r="M22" s="17">
        <v>2147.14</v>
      </c>
      <c r="O22" s="4">
        <v>1092</v>
      </c>
      <c r="P22" s="5">
        <v>20</v>
      </c>
      <c r="Q22" s="7">
        <v>164.7</v>
      </c>
      <c r="R22" s="1">
        <v>144.69999999999999</v>
      </c>
    </row>
    <row r="23" spans="6:18" x14ac:dyDescent="0.25">
      <c r="F23" s="4">
        <v>1017</v>
      </c>
      <c r="G23" s="21">
        <v>3703.88</v>
      </c>
      <c r="H23" s="13">
        <v>-104.33</v>
      </c>
      <c r="I23" s="17">
        <v>19.54</v>
      </c>
      <c r="J23" s="13">
        <v>21</v>
      </c>
      <c r="K23" s="17">
        <v>13.62</v>
      </c>
      <c r="L23" s="19">
        <v>18</v>
      </c>
      <c r="M23" s="17">
        <v>1947.03</v>
      </c>
      <c r="O23" s="4">
        <v>1099</v>
      </c>
      <c r="P23" s="5">
        <v>24</v>
      </c>
      <c r="Q23" s="7">
        <v>159.32</v>
      </c>
      <c r="R23" s="1">
        <v>135.32</v>
      </c>
    </row>
    <row r="24" spans="6:18" x14ac:dyDescent="0.25">
      <c r="O24" s="4" t="s">
        <v>2</v>
      </c>
      <c r="P24" s="1">
        <v>396</v>
      </c>
      <c r="Q24" s="1">
        <v>3159.5900000000006</v>
      </c>
      <c r="R24" s="1"/>
    </row>
  </sheetData>
  <mergeCells count="13">
    <mergeCell ref="B8:C8"/>
    <mergeCell ref="B9:C9"/>
    <mergeCell ref="B10:C12"/>
    <mergeCell ref="F2:M2"/>
    <mergeCell ref="H1:M1"/>
    <mergeCell ref="Q1:R1"/>
    <mergeCell ref="O2:R2"/>
    <mergeCell ref="B2:D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D1B-F830-4722-9E0E-0D1E833B609F}">
  <dimension ref="A1:U101"/>
  <sheetViews>
    <sheetView tabSelected="1" topLeftCell="H1" workbookViewId="0">
      <selection activeCell="E15" sqref="E15"/>
    </sheetView>
  </sheetViews>
  <sheetFormatPr defaultRowHeight="15" x14ac:dyDescent="0.25"/>
  <cols>
    <col min="1" max="1" width="13.5703125" customWidth="1"/>
    <col min="2" max="2" width="14.5703125" customWidth="1"/>
    <col min="3" max="3" width="10.7109375" bestFit="1" customWidth="1"/>
    <col min="4" max="4" width="11" bestFit="1" customWidth="1"/>
    <col min="5" max="5" width="14.140625" bestFit="1" customWidth="1"/>
    <col min="6" max="6" width="15.140625" bestFit="1" customWidth="1"/>
    <col min="7" max="7" width="14.7109375" bestFit="1" customWidth="1"/>
    <col min="8" max="8" width="13.7109375" customWidth="1"/>
    <col min="9" max="9" width="10.7109375" customWidth="1"/>
    <col min="10" max="10" width="17.28515625" customWidth="1"/>
    <col min="11" max="11" width="10" customWidth="1"/>
    <col min="12" max="12" width="9.5703125" bestFit="1" customWidth="1"/>
    <col min="13" max="13" width="14" bestFit="1" customWidth="1"/>
    <col min="15" max="15" width="9.28515625" bestFit="1" customWidth="1"/>
    <col min="16" max="16" width="12" bestFit="1" customWidth="1"/>
    <col min="17" max="17" width="17" bestFit="1" customWidth="1"/>
    <col min="18" max="18" width="12.85546875" bestFit="1" customWidth="1"/>
    <col min="19" max="19" width="10.85546875" bestFit="1" customWidth="1"/>
    <col min="20" max="20" width="9" bestFit="1" customWidth="1"/>
    <col min="21" max="21" width="18.42578125" bestFit="1" customWidth="1"/>
  </cols>
  <sheetData>
    <row r="1" spans="1:21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42</v>
      </c>
      <c r="S1" t="s">
        <v>40</v>
      </c>
      <c r="T1" t="s">
        <v>43</v>
      </c>
      <c r="U1" t="s">
        <v>41</v>
      </c>
    </row>
    <row r="2" spans="1:21" x14ac:dyDescent="0.25">
      <c r="A2">
        <v>1001</v>
      </c>
      <c r="B2">
        <v>14.83</v>
      </c>
      <c r="C2">
        <v>374</v>
      </c>
      <c r="D2">
        <v>1012319.51</v>
      </c>
      <c r="E2">
        <v>1.21</v>
      </c>
      <c r="F2">
        <v>21</v>
      </c>
      <c r="G2">
        <v>16</v>
      </c>
      <c r="H2">
        <v>97.86</v>
      </c>
      <c r="I2">
        <v>117.29</v>
      </c>
      <c r="J2">
        <v>17.29</v>
      </c>
      <c r="K2" t="b">
        <v>0</v>
      </c>
      <c r="L2">
        <v>-96.29</v>
      </c>
      <c r="M2">
        <v>0</v>
      </c>
      <c r="N2">
        <v>0</v>
      </c>
      <c r="O2">
        <v>2706.74</v>
      </c>
      <c r="P2">
        <v>0</v>
      </c>
      <c r="Q2">
        <v>3286.75</v>
      </c>
      <c r="R2">
        <v>0</v>
      </c>
      <c r="S2">
        <v>0</v>
      </c>
      <c r="T2">
        <v>112.2</v>
      </c>
      <c r="U2">
        <v>136.72</v>
      </c>
    </row>
    <row r="3" spans="1:21" x14ac:dyDescent="0.25">
      <c r="A3">
        <v>1002</v>
      </c>
      <c r="B3">
        <v>9.61</v>
      </c>
      <c r="C3">
        <v>308</v>
      </c>
      <c r="D3">
        <v>745910.34</v>
      </c>
      <c r="E3">
        <v>0.93</v>
      </c>
      <c r="F3">
        <v>18</v>
      </c>
      <c r="G3">
        <v>24</v>
      </c>
      <c r="H3">
        <v>77.7</v>
      </c>
      <c r="I3">
        <v>100.1</v>
      </c>
      <c r="J3">
        <v>19.29</v>
      </c>
      <c r="K3" t="b">
        <v>1</v>
      </c>
      <c r="L3">
        <v>-82.1</v>
      </c>
      <c r="M3">
        <v>4.71</v>
      </c>
      <c r="N3">
        <v>4.4000000000000004</v>
      </c>
      <c r="O3">
        <v>2421.79</v>
      </c>
      <c r="P3">
        <v>10655.86</v>
      </c>
      <c r="Q3">
        <v>2260.33</v>
      </c>
      <c r="R3">
        <v>2.81</v>
      </c>
      <c r="S3">
        <v>2.81</v>
      </c>
      <c r="T3">
        <v>5421.27</v>
      </c>
      <c r="U3">
        <v>122.5</v>
      </c>
    </row>
    <row r="4" spans="1:21" x14ac:dyDescent="0.25">
      <c r="A4">
        <v>1003</v>
      </c>
      <c r="B4">
        <v>12.83</v>
      </c>
      <c r="C4">
        <v>255</v>
      </c>
      <c r="D4">
        <v>750608.69</v>
      </c>
      <c r="E4">
        <v>0.74</v>
      </c>
      <c r="F4">
        <v>27</v>
      </c>
      <c r="G4">
        <v>18</v>
      </c>
      <c r="H4">
        <v>89.8</v>
      </c>
      <c r="I4">
        <v>103.11</v>
      </c>
      <c r="J4">
        <v>36.53</v>
      </c>
      <c r="K4" t="b">
        <v>0</v>
      </c>
      <c r="L4">
        <v>-76.11</v>
      </c>
      <c r="M4">
        <v>0</v>
      </c>
      <c r="N4">
        <v>0</v>
      </c>
      <c r="O4">
        <v>2943.56</v>
      </c>
      <c r="P4">
        <v>0</v>
      </c>
      <c r="Q4">
        <v>2175.6799999999998</v>
      </c>
      <c r="R4">
        <v>0</v>
      </c>
      <c r="S4">
        <v>2.81</v>
      </c>
      <c r="T4">
        <v>76.5</v>
      </c>
      <c r="U4">
        <v>116.41</v>
      </c>
    </row>
    <row r="5" spans="1:21" x14ac:dyDescent="0.25">
      <c r="A5">
        <v>1004</v>
      </c>
      <c r="B5">
        <v>14.49</v>
      </c>
      <c r="C5">
        <v>230</v>
      </c>
      <c r="D5">
        <v>865859.72</v>
      </c>
      <c r="E5">
        <v>0.86</v>
      </c>
      <c r="F5">
        <v>29</v>
      </c>
      <c r="G5">
        <v>22</v>
      </c>
      <c r="H5">
        <v>112.18</v>
      </c>
      <c r="I5">
        <v>131.13</v>
      </c>
      <c r="J5">
        <v>33.67</v>
      </c>
      <c r="K5" t="b">
        <v>0</v>
      </c>
      <c r="L5">
        <v>-102.13</v>
      </c>
      <c r="M5">
        <v>0</v>
      </c>
      <c r="N5">
        <v>0</v>
      </c>
      <c r="O5">
        <v>3764.61</v>
      </c>
      <c r="P5">
        <v>0</v>
      </c>
      <c r="Q5">
        <v>3242.92</v>
      </c>
      <c r="R5">
        <v>0</v>
      </c>
      <c r="S5">
        <v>2.81</v>
      </c>
      <c r="T5">
        <v>69</v>
      </c>
      <c r="U5">
        <v>150.08000000000001</v>
      </c>
    </row>
    <row r="6" spans="1:21" x14ac:dyDescent="0.25">
      <c r="A6">
        <v>1005</v>
      </c>
      <c r="B6">
        <v>14.63</v>
      </c>
      <c r="C6">
        <v>221</v>
      </c>
      <c r="D6">
        <v>657473.62</v>
      </c>
      <c r="E6">
        <v>0.75</v>
      </c>
      <c r="F6">
        <v>25</v>
      </c>
      <c r="G6">
        <v>21</v>
      </c>
      <c r="H6">
        <v>110.58</v>
      </c>
      <c r="I6">
        <v>126.42</v>
      </c>
      <c r="J6">
        <v>33.14</v>
      </c>
      <c r="K6" t="b">
        <v>0</v>
      </c>
      <c r="L6">
        <v>-101.42</v>
      </c>
      <c r="M6">
        <v>0</v>
      </c>
      <c r="N6">
        <v>0</v>
      </c>
      <c r="O6">
        <v>2974.99</v>
      </c>
      <c r="P6">
        <v>0</v>
      </c>
      <c r="Q6">
        <v>2243.94</v>
      </c>
      <c r="R6">
        <v>0</v>
      </c>
      <c r="S6">
        <v>2.81</v>
      </c>
      <c r="T6">
        <v>66.3</v>
      </c>
      <c r="U6">
        <v>142.26</v>
      </c>
    </row>
    <row r="7" spans="1:21" x14ac:dyDescent="0.25">
      <c r="A7">
        <v>1006</v>
      </c>
      <c r="B7">
        <v>13.93</v>
      </c>
      <c r="C7">
        <v>210</v>
      </c>
      <c r="D7">
        <v>617499.19999999995</v>
      </c>
      <c r="E7">
        <v>0.73</v>
      </c>
      <c r="F7">
        <v>22</v>
      </c>
      <c r="G7">
        <v>23</v>
      </c>
      <c r="H7">
        <v>110.2</v>
      </c>
      <c r="I7">
        <v>126.91</v>
      </c>
      <c r="J7">
        <v>30.28</v>
      </c>
      <c r="K7" t="b">
        <v>0</v>
      </c>
      <c r="L7">
        <v>-104.91</v>
      </c>
      <c r="M7">
        <v>0</v>
      </c>
      <c r="N7">
        <v>0</v>
      </c>
      <c r="O7">
        <v>2940.47</v>
      </c>
      <c r="P7">
        <v>0</v>
      </c>
      <c r="Q7">
        <v>2136.6799999999998</v>
      </c>
      <c r="R7">
        <v>0</v>
      </c>
      <c r="S7">
        <v>2.81</v>
      </c>
      <c r="T7">
        <v>63</v>
      </c>
      <c r="U7">
        <v>143.62</v>
      </c>
    </row>
    <row r="8" spans="1:21" x14ac:dyDescent="0.25">
      <c r="A8">
        <v>1007</v>
      </c>
      <c r="B8">
        <v>13.74</v>
      </c>
      <c r="C8">
        <v>143</v>
      </c>
      <c r="D8">
        <v>479002.38</v>
      </c>
      <c r="E8">
        <v>0.71</v>
      </c>
      <c r="F8">
        <v>27</v>
      </c>
      <c r="G8">
        <v>22</v>
      </c>
      <c r="H8">
        <v>106.31</v>
      </c>
      <c r="I8">
        <v>121.96</v>
      </c>
      <c r="J8">
        <v>37.950000000000003</v>
      </c>
      <c r="K8" t="b">
        <v>0</v>
      </c>
      <c r="L8">
        <v>-94.96</v>
      </c>
      <c r="M8">
        <v>0</v>
      </c>
      <c r="N8">
        <v>0</v>
      </c>
      <c r="O8">
        <v>3349.67</v>
      </c>
      <c r="P8">
        <v>0</v>
      </c>
      <c r="Q8">
        <v>2383.1</v>
      </c>
      <c r="R8">
        <v>0</v>
      </c>
      <c r="S8">
        <v>2.81</v>
      </c>
      <c r="T8">
        <v>42.9</v>
      </c>
      <c r="U8">
        <v>137.61000000000001</v>
      </c>
    </row>
    <row r="9" spans="1:21" x14ac:dyDescent="0.25">
      <c r="A9">
        <v>1008</v>
      </c>
      <c r="B9">
        <v>8.24</v>
      </c>
      <c r="C9">
        <v>407</v>
      </c>
      <c r="D9">
        <v>1092001.8</v>
      </c>
      <c r="E9">
        <v>1.1499999999999999</v>
      </c>
      <c r="F9">
        <v>19</v>
      </c>
      <c r="G9">
        <v>19</v>
      </c>
      <c r="H9">
        <v>59.26</v>
      </c>
      <c r="I9">
        <v>81.11</v>
      </c>
      <c r="J9">
        <v>16.53</v>
      </c>
      <c r="K9" t="b">
        <v>1</v>
      </c>
      <c r="L9">
        <v>-62.11</v>
      </c>
      <c r="M9">
        <v>2.4700000000000002</v>
      </c>
      <c r="N9">
        <v>2.84</v>
      </c>
      <c r="O9">
        <v>2683.05</v>
      </c>
      <c r="P9">
        <v>7632.3</v>
      </c>
      <c r="Q9">
        <v>3084.75</v>
      </c>
      <c r="R9">
        <v>2.0099999999999998</v>
      </c>
      <c r="S9">
        <v>4.83</v>
      </c>
      <c r="T9">
        <v>3938.74</v>
      </c>
      <c r="U9">
        <v>102.95</v>
      </c>
    </row>
    <row r="10" spans="1:21" x14ac:dyDescent="0.25">
      <c r="A10">
        <v>1009</v>
      </c>
      <c r="B10">
        <v>15.07</v>
      </c>
      <c r="C10">
        <v>238</v>
      </c>
      <c r="D10">
        <v>544961.9</v>
      </c>
      <c r="E10">
        <v>0.82</v>
      </c>
      <c r="F10">
        <v>21</v>
      </c>
      <c r="G10">
        <v>16</v>
      </c>
      <c r="H10">
        <v>99.45</v>
      </c>
      <c r="I10">
        <v>112.63</v>
      </c>
      <c r="J10">
        <v>25.5</v>
      </c>
      <c r="K10" t="b">
        <v>0</v>
      </c>
      <c r="L10">
        <v>-91.63</v>
      </c>
      <c r="M10">
        <v>0</v>
      </c>
      <c r="N10">
        <v>0</v>
      </c>
      <c r="O10">
        <v>2289.7600000000002</v>
      </c>
      <c r="P10">
        <v>0</v>
      </c>
      <c r="Q10">
        <v>1885.68</v>
      </c>
      <c r="R10">
        <v>0</v>
      </c>
      <c r="S10">
        <v>4.83</v>
      </c>
      <c r="T10">
        <v>71.400000000000006</v>
      </c>
      <c r="U10">
        <v>125.81</v>
      </c>
    </row>
    <row r="11" spans="1:21" x14ac:dyDescent="0.25">
      <c r="A11">
        <v>1010</v>
      </c>
      <c r="B11">
        <v>17.13</v>
      </c>
      <c r="C11">
        <v>187</v>
      </c>
      <c r="D11">
        <v>561065.85</v>
      </c>
      <c r="E11">
        <v>0.6</v>
      </c>
      <c r="F11">
        <v>24</v>
      </c>
      <c r="G11">
        <v>19</v>
      </c>
      <c r="H11">
        <v>123.19</v>
      </c>
      <c r="I11">
        <v>134.54</v>
      </c>
      <c r="J11">
        <v>40.17</v>
      </c>
      <c r="K11" t="b">
        <v>0</v>
      </c>
      <c r="L11">
        <v>-110.54</v>
      </c>
      <c r="M11">
        <v>0</v>
      </c>
      <c r="N11">
        <v>0</v>
      </c>
      <c r="O11">
        <v>3000.35</v>
      </c>
      <c r="P11">
        <v>0</v>
      </c>
      <c r="Q11">
        <v>1792.54</v>
      </c>
      <c r="R11">
        <v>0</v>
      </c>
      <c r="S11">
        <v>4.83</v>
      </c>
      <c r="T11">
        <v>56.1</v>
      </c>
      <c r="U11">
        <v>145.88999999999999</v>
      </c>
    </row>
    <row r="12" spans="1:21" x14ac:dyDescent="0.25">
      <c r="A12">
        <v>1011</v>
      </c>
      <c r="B12">
        <v>15.22</v>
      </c>
      <c r="C12">
        <v>75</v>
      </c>
      <c r="D12">
        <v>244328.35</v>
      </c>
      <c r="E12">
        <v>0.24</v>
      </c>
      <c r="F12">
        <v>17</v>
      </c>
      <c r="G12">
        <v>22</v>
      </c>
      <c r="H12">
        <v>117.77</v>
      </c>
      <c r="I12">
        <v>123.05</v>
      </c>
      <c r="J12">
        <v>70.95</v>
      </c>
      <c r="K12" t="b">
        <v>0</v>
      </c>
      <c r="L12">
        <v>-106.05</v>
      </c>
      <c r="M12">
        <v>0</v>
      </c>
      <c r="N12">
        <v>0</v>
      </c>
      <c r="O12">
        <v>3257.71</v>
      </c>
      <c r="P12">
        <v>0</v>
      </c>
      <c r="Q12">
        <v>780.6</v>
      </c>
      <c r="R12">
        <v>0</v>
      </c>
      <c r="S12">
        <v>4.83</v>
      </c>
      <c r="T12">
        <v>22.5</v>
      </c>
      <c r="U12">
        <v>128.32</v>
      </c>
    </row>
    <row r="13" spans="1:21" x14ac:dyDescent="0.25">
      <c r="A13">
        <v>1012</v>
      </c>
      <c r="B13">
        <v>13.8</v>
      </c>
      <c r="C13">
        <v>263</v>
      </c>
      <c r="D13">
        <v>660189.46</v>
      </c>
      <c r="E13">
        <v>0.78</v>
      </c>
      <c r="F13">
        <v>21</v>
      </c>
      <c r="G13">
        <v>24</v>
      </c>
      <c r="H13">
        <v>111.53</v>
      </c>
      <c r="I13">
        <v>130.26</v>
      </c>
      <c r="J13">
        <v>26.91</v>
      </c>
      <c r="K13" t="b">
        <v>0</v>
      </c>
      <c r="L13">
        <v>-109.26</v>
      </c>
      <c r="M13">
        <v>0</v>
      </c>
      <c r="N13">
        <v>0</v>
      </c>
      <c r="O13">
        <v>2510.23</v>
      </c>
      <c r="P13">
        <v>0</v>
      </c>
      <c r="Q13">
        <v>1959.02</v>
      </c>
      <c r="R13">
        <v>0</v>
      </c>
      <c r="S13">
        <v>4.83</v>
      </c>
      <c r="T13">
        <v>78.900000000000006</v>
      </c>
      <c r="U13">
        <v>148.99</v>
      </c>
    </row>
    <row r="14" spans="1:21" x14ac:dyDescent="0.25">
      <c r="A14">
        <v>1013</v>
      </c>
      <c r="B14">
        <v>11.42</v>
      </c>
      <c r="C14">
        <v>294</v>
      </c>
      <c r="D14">
        <v>742017.3</v>
      </c>
      <c r="E14">
        <v>1.04</v>
      </c>
      <c r="F14">
        <v>25</v>
      </c>
      <c r="G14">
        <v>23</v>
      </c>
      <c r="H14">
        <v>90.39</v>
      </c>
      <c r="I14">
        <v>114.29</v>
      </c>
      <c r="J14">
        <v>24.06</v>
      </c>
      <c r="K14" t="b">
        <v>0</v>
      </c>
      <c r="L14">
        <v>-89.29</v>
      </c>
      <c r="M14">
        <v>0</v>
      </c>
      <c r="N14">
        <v>0</v>
      </c>
      <c r="O14">
        <v>2523.87</v>
      </c>
      <c r="P14">
        <v>0</v>
      </c>
      <c r="Q14">
        <v>2621.97</v>
      </c>
      <c r="R14">
        <v>0</v>
      </c>
      <c r="S14">
        <v>4.83</v>
      </c>
      <c r="T14">
        <v>88.2</v>
      </c>
      <c r="U14">
        <v>138.18</v>
      </c>
    </row>
    <row r="15" spans="1:21" x14ac:dyDescent="0.25">
      <c r="A15">
        <v>1014</v>
      </c>
      <c r="B15">
        <v>18.86</v>
      </c>
      <c r="C15">
        <v>245</v>
      </c>
      <c r="D15">
        <v>412008.35</v>
      </c>
      <c r="E15">
        <v>0.79</v>
      </c>
      <c r="F15">
        <v>25</v>
      </c>
      <c r="G15">
        <v>23</v>
      </c>
      <c r="H15">
        <v>149.27000000000001</v>
      </c>
      <c r="I15">
        <v>167.39</v>
      </c>
      <c r="J15">
        <v>31.73</v>
      </c>
      <c r="K15" t="b">
        <v>0</v>
      </c>
      <c r="L15">
        <v>-142.38999999999999</v>
      </c>
      <c r="M15">
        <v>0</v>
      </c>
      <c r="N15">
        <v>0</v>
      </c>
      <c r="O15">
        <v>1681.67</v>
      </c>
      <c r="P15">
        <v>0</v>
      </c>
      <c r="Q15">
        <v>1324.79</v>
      </c>
      <c r="R15">
        <v>0</v>
      </c>
      <c r="S15">
        <v>4.83</v>
      </c>
      <c r="T15">
        <v>73.5</v>
      </c>
      <c r="U15">
        <v>185.51</v>
      </c>
    </row>
    <row r="16" spans="1:21" x14ac:dyDescent="0.25">
      <c r="A16">
        <v>1015</v>
      </c>
      <c r="B16">
        <v>10.63</v>
      </c>
      <c r="C16">
        <v>224</v>
      </c>
      <c r="D16">
        <v>557604.69999999995</v>
      </c>
      <c r="E16">
        <v>0.79</v>
      </c>
      <c r="F16">
        <v>22</v>
      </c>
      <c r="G16">
        <v>15</v>
      </c>
      <c r="H16">
        <v>67.91</v>
      </c>
      <c r="I16">
        <v>79.83</v>
      </c>
      <c r="J16">
        <v>27.7</v>
      </c>
      <c r="K16" t="b">
        <v>0</v>
      </c>
      <c r="L16">
        <v>-57.83</v>
      </c>
      <c r="M16">
        <v>0</v>
      </c>
      <c r="N16">
        <v>0</v>
      </c>
      <c r="O16">
        <v>2489.31</v>
      </c>
      <c r="P16">
        <v>0</v>
      </c>
      <c r="Q16">
        <v>1977.32</v>
      </c>
      <c r="R16">
        <v>0</v>
      </c>
      <c r="S16">
        <v>4.83</v>
      </c>
      <c r="T16">
        <v>67.2</v>
      </c>
      <c r="U16">
        <v>91.74</v>
      </c>
    </row>
    <row r="17" spans="1:21" x14ac:dyDescent="0.25">
      <c r="A17">
        <v>1016</v>
      </c>
      <c r="B17">
        <v>15.3</v>
      </c>
      <c r="C17">
        <v>245</v>
      </c>
      <c r="D17">
        <v>722478.86</v>
      </c>
      <c r="E17">
        <v>0.79</v>
      </c>
      <c r="F17">
        <v>19</v>
      </c>
      <c r="G17">
        <v>23</v>
      </c>
      <c r="H17">
        <v>121.04</v>
      </c>
      <c r="I17">
        <v>139.16</v>
      </c>
      <c r="J17">
        <v>24.12</v>
      </c>
      <c r="K17" t="b">
        <v>0</v>
      </c>
      <c r="L17">
        <v>-120.16</v>
      </c>
      <c r="M17">
        <v>0</v>
      </c>
      <c r="N17">
        <v>0</v>
      </c>
      <c r="O17">
        <v>2948.89</v>
      </c>
      <c r="P17">
        <v>0</v>
      </c>
      <c r="Q17">
        <v>2323.08</v>
      </c>
      <c r="R17">
        <v>0</v>
      </c>
      <c r="S17">
        <v>4.83</v>
      </c>
      <c r="T17">
        <v>73.5</v>
      </c>
      <c r="U17">
        <v>157.28</v>
      </c>
    </row>
    <row r="18" spans="1:21" x14ac:dyDescent="0.25">
      <c r="A18">
        <v>1017</v>
      </c>
      <c r="B18">
        <v>13.62</v>
      </c>
      <c r="C18">
        <v>316</v>
      </c>
      <c r="D18">
        <v>868952.4</v>
      </c>
      <c r="E18">
        <v>0.92</v>
      </c>
      <c r="F18">
        <v>18</v>
      </c>
      <c r="G18">
        <v>21</v>
      </c>
      <c r="H18">
        <v>102.98</v>
      </c>
      <c r="I18">
        <v>122.33</v>
      </c>
      <c r="J18">
        <v>19.54</v>
      </c>
      <c r="K18" t="b">
        <v>1</v>
      </c>
      <c r="L18">
        <v>-104.33</v>
      </c>
      <c r="M18">
        <v>1.46</v>
      </c>
      <c r="N18">
        <v>1.35</v>
      </c>
      <c r="O18">
        <v>2749.85</v>
      </c>
      <c r="P18">
        <v>3703.88</v>
      </c>
      <c r="Q18">
        <v>2533.39</v>
      </c>
      <c r="R18">
        <v>0.98</v>
      </c>
      <c r="S18">
        <v>5.8</v>
      </c>
      <c r="T18">
        <v>1947.03</v>
      </c>
      <c r="U18">
        <v>141.68</v>
      </c>
    </row>
    <row r="19" spans="1:21" x14ac:dyDescent="0.25">
      <c r="A19">
        <v>1018</v>
      </c>
      <c r="B19">
        <v>9.07</v>
      </c>
      <c r="C19">
        <v>160</v>
      </c>
      <c r="D19">
        <v>315207.46999999997</v>
      </c>
      <c r="E19">
        <v>0.47</v>
      </c>
      <c r="F19">
        <v>22</v>
      </c>
      <c r="G19">
        <v>23</v>
      </c>
      <c r="H19">
        <v>71.739999999999995</v>
      </c>
      <c r="I19">
        <v>82.44</v>
      </c>
      <c r="J19">
        <v>47.3</v>
      </c>
      <c r="K19" t="b">
        <v>0</v>
      </c>
      <c r="L19">
        <v>-60.44</v>
      </c>
      <c r="M19">
        <v>0</v>
      </c>
      <c r="N19">
        <v>0</v>
      </c>
      <c r="O19">
        <v>1970.05</v>
      </c>
      <c r="P19">
        <v>0</v>
      </c>
      <c r="Q19">
        <v>916.3</v>
      </c>
      <c r="R19">
        <v>0</v>
      </c>
      <c r="S19">
        <v>5.8</v>
      </c>
      <c r="T19">
        <v>48</v>
      </c>
      <c r="U19">
        <v>93.14</v>
      </c>
    </row>
    <row r="20" spans="1:21" x14ac:dyDescent="0.25">
      <c r="A20">
        <v>1019</v>
      </c>
      <c r="B20">
        <v>10.71</v>
      </c>
      <c r="C20">
        <v>359</v>
      </c>
      <c r="D20">
        <v>998549.95</v>
      </c>
      <c r="E20">
        <v>1.74</v>
      </c>
      <c r="F20">
        <v>22</v>
      </c>
      <c r="G20">
        <v>22</v>
      </c>
      <c r="H20">
        <v>82.89</v>
      </c>
      <c r="I20">
        <v>121.23</v>
      </c>
      <c r="J20">
        <v>12.62</v>
      </c>
      <c r="K20" t="b">
        <v>1</v>
      </c>
      <c r="L20">
        <v>-99.23</v>
      </c>
      <c r="M20">
        <v>9.3800000000000008</v>
      </c>
      <c r="N20">
        <v>16.34</v>
      </c>
      <c r="O20">
        <v>2781.48</v>
      </c>
      <c r="P20">
        <v>45448.78</v>
      </c>
      <c r="Q20">
        <v>4847.33</v>
      </c>
      <c r="R20">
        <v>11.99</v>
      </c>
      <c r="S20">
        <v>17.8</v>
      </c>
      <c r="T20">
        <v>22833.97</v>
      </c>
      <c r="U20">
        <v>159.57</v>
      </c>
    </row>
    <row r="21" spans="1:21" x14ac:dyDescent="0.25">
      <c r="A21">
        <v>1020</v>
      </c>
      <c r="B21">
        <v>14.5</v>
      </c>
      <c r="C21">
        <v>201</v>
      </c>
      <c r="D21">
        <v>660776.21</v>
      </c>
      <c r="E21">
        <v>0.66</v>
      </c>
      <c r="F21">
        <v>17</v>
      </c>
      <c r="G21">
        <v>15</v>
      </c>
      <c r="H21">
        <v>92.66</v>
      </c>
      <c r="I21">
        <v>102.54</v>
      </c>
      <c r="J21">
        <v>25.8</v>
      </c>
      <c r="K21" t="b">
        <v>0</v>
      </c>
      <c r="L21">
        <v>-85.54</v>
      </c>
      <c r="M21">
        <v>0</v>
      </c>
      <c r="N21">
        <v>0</v>
      </c>
      <c r="O21">
        <v>3287.44</v>
      </c>
      <c r="P21">
        <v>0</v>
      </c>
      <c r="Q21">
        <v>2166.48</v>
      </c>
      <c r="R21">
        <v>0</v>
      </c>
      <c r="S21">
        <v>17.8</v>
      </c>
      <c r="T21">
        <v>60.3</v>
      </c>
      <c r="U21">
        <v>112.43</v>
      </c>
    </row>
    <row r="22" spans="1:21" x14ac:dyDescent="0.25">
      <c r="A22">
        <v>1021</v>
      </c>
      <c r="B22">
        <v>9.6300000000000008</v>
      </c>
      <c r="C22">
        <v>237</v>
      </c>
      <c r="D22">
        <v>626912.43000000005</v>
      </c>
      <c r="E22">
        <v>0.73</v>
      </c>
      <c r="F22">
        <v>20</v>
      </c>
      <c r="G22">
        <v>22</v>
      </c>
      <c r="H22">
        <v>74.5</v>
      </c>
      <c r="I22">
        <v>90.55</v>
      </c>
      <c r="J22">
        <v>27.43</v>
      </c>
      <c r="K22" t="b">
        <v>0</v>
      </c>
      <c r="L22">
        <v>-70.55</v>
      </c>
      <c r="M22">
        <v>0</v>
      </c>
      <c r="N22">
        <v>0</v>
      </c>
      <c r="O22">
        <v>2645.2</v>
      </c>
      <c r="P22">
        <v>0</v>
      </c>
      <c r="Q22">
        <v>1928.96</v>
      </c>
      <c r="R22">
        <v>0</v>
      </c>
      <c r="S22">
        <v>17.8</v>
      </c>
      <c r="T22">
        <v>71.099999999999994</v>
      </c>
      <c r="U22">
        <v>106.59</v>
      </c>
    </row>
    <row r="23" spans="1:21" x14ac:dyDescent="0.25">
      <c r="A23">
        <v>1022</v>
      </c>
      <c r="B23">
        <v>13.92</v>
      </c>
      <c r="C23">
        <v>127</v>
      </c>
      <c r="D23">
        <v>346634.82</v>
      </c>
      <c r="E23">
        <v>0.36</v>
      </c>
      <c r="F23">
        <v>19</v>
      </c>
      <c r="G23">
        <v>22</v>
      </c>
      <c r="H23">
        <v>107.73</v>
      </c>
      <c r="I23">
        <v>115.67</v>
      </c>
      <c r="J23">
        <v>52.66</v>
      </c>
      <c r="K23" t="b">
        <v>0</v>
      </c>
      <c r="L23">
        <v>-96.67</v>
      </c>
      <c r="M23">
        <v>0</v>
      </c>
      <c r="N23">
        <v>0</v>
      </c>
      <c r="O23">
        <v>2729.41</v>
      </c>
      <c r="P23">
        <v>0</v>
      </c>
      <c r="Q23">
        <v>984.76</v>
      </c>
      <c r="R23">
        <v>0</v>
      </c>
      <c r="S23">
        <v>17.8</v>
      </c>
      <c r="T23">
        <v>38.1</v>
      </c>
      <c r="U23">
        <v>123.6</v>
      </c>
    </row>
    <row r="24" spans="1:21" x14ac:dyDescent="0.25">
      <c r="A24">
        <v>1023</v>
      </c>
      <c r="B24">
        <v>18.559999999999999</v>
      </c>
      <c r="C24">
        <v>309</v>
      </c>
      <c r="D24">
        <v>902946.43</v>
      </c>
      <c r="E24">
        <v>0.88</v>
      </c>
      <c r="F24">
        <v>16</v>
      </c>
      <c r="G24">
        <v>17</v>
      </c>
      <c r="H24">
        <v>126.24</v>
      </c>
      <c r="I24">
        <v>141.13</v>
      </c>
      <c r="J24">
        <v>18.28</v>
      </c>
      <c r="K24" t="b">
        <v>0</v>
      </c>
      <c r="L24">
        <v>-125.13</v>
      </c>
      <c r="M24">
        <v>0</v>
      </c>
      <c r="N24">
        <v>0</v>
      </c>
      <c r="O24">
        <v>2922.16</v>
      </c>
      <c r="P24">
        <v>0</v>
      </c>
      <c r="Q24">
        <v>2557.92</v>
      </c>
      <c r="R24">
        <v>0</v>
      </c>
      <c r="S24">
        <v>17.8</v>
      </c>
      <c r="T24">
        <v>92.7</v>
      </c>
      <c r="U24">
        <v>156.01</v>
      </c>
    </row>
    <row r="25" spans="1:21" x14ac:dyDescent="0.25">
      <c r="A25">
        <v>1024</v>
      </c>
      <c r="B25">
        <v>15.1</v>
      </c>
      <c r="C25">
        <v>398</v>
      </c>
      <c r="D25">
        <v>987380.39</v>
      </c>
      <c r="E25">
        <v>1.1399999999999999</v>
      </c>
      <c r="F25">
        <v>22</v>
      </c>
      <c r="G25">
        <v>15</v>
      </c>
      <c r="H25">
        <v>96.52</v>
      </c>
      <c r="I25">
        <v>113.57</v>
      </c>
      <c r="J25">
        <v>19.350000000000001</v>
      </c>
      <c r="K25" t="b">
        <v>0</v>
      </c>
      <c r="L25">
        <v>-91.57</v>
      </c>
      <c r="M25">
        <v>0</v>
      </c>
      <c r="N25">
        <v>0</v>
      </c>
      <c r="O25">
        <v>2480.86</v>
      </c>
      <c r="P25">
        <v>0</v>
      </c>
      <c r="Q25">
        <v>2821.09</v>
      </c>
      <c r="R25">
        <v>0</v>
      </c>
      <c r="S25">
        <v>17.8</v>
      </c>
      <c r="T25">
        <v>119.4</v>
      </c>
      <c r="U25">
        <v>130.63</v>
      </c>
    </row>
    <row r="26" spans="1:21" x14ac:dyDescent="0.25">
      <c r="A26">
        <v>1025</v>
      </c>
      <c r="B26">
        <v>15.53</v>
      </c>
      <c r="C26">
        <v>296</v>
      </c>
      <c r="D26">
        <v>675068.52</v>
      </c>
      <c r="E26">
        <v>0.93</v>
      </c>
      <c r="F26">
        <v>26</v>
      </c>
      <c r="G26">
        <v>22</v>
      </c>
      <c r="H26">
        <v>120.18</v>
      </c>
      <c r="I26">
        <v>140.6</v>
      </c>
      <c r="J26">
        <v>28.02</v>
      </c>
      <c r="K26" t="b">
        <v>0</v>
      </c>
      <c r="L26">
        <v>-114.6</v>
      </c>
      <c r="M26">
        <v>0</v>
      </c>
      <c r="N26">
        <v>0</v>
      </c>
      <c r="O26">
        <v>2280.64</v>
      </c>
      <c r="P26">
        <v>0</v>
      </c>
      <c r="Q26">
        <v>2116.1999999999998</v>
      </c>
      <c r="R26">
        <v>0</v>
      </c>
      <c r="S26">
        <v>17.8</v>
      </c>
      <c r="T26">
        <v>88.8</v>
      </c>
      <c r="U26">
        <v>161.01</v>
      </c>
    </row>
    <row r="27" spans="1:21" x14ac:dyDescent="0.25">
      <c r="A27">
        <v>1026</v>
      </c>
      <c r="B27">
        <v>13.71</v>
      </c>
      <c r="C27">
        <v>207</v>
      </c>
      <c r="D27">
        <v>503389.82</v>
      </c>
      <c r="E27">
        <v>0.74</v>
      </c>
      <c r="F27">
        <v>28</v>
      </c>
      <c r="G27">
        <v>17</v>
      </c>
      <c r="H27">
        <v>93.28</v>
      </c>
      <c r="I27">
        <v>105.85</v>
      </c>
      <c r="J27">
        <v>37.869999999999997</v>
      </c>
      <c r="K27" t="b">
        <v>0</v>
      </c>
      <c r="L27">
        <v>-77.849999999999994</v>
      </c>
      <c r="M27">
        <v>0</v>
      </c>
      <c r="N27">
        <v>0</v>
      </c>
      <c r="O27">
        <v>2431.83</v>
      </c>
      <c r="P27">
        <v>0</v>
      </c>
      <c r="Q27">
        <v>1797.82</v>
      </c>
      <c r="R27">
        <v>0</v>
      </c>
      <c r="S27">
        <v>17.8</v>
      </c>
      <c r="T27">
        <v>62.1</v>
      </c>
      <c r="U27">
        <v>118.42</v>
      </c>
    </row>
    <row r="28" spans="1:21" x14ac:dyDescent="0.25">
      <c r="A28">
        <v>1027</v>
      </c>
      <c r="B28">
        <v>14.18</v>
      </c>
      <c r="C28">
        <v>236</v>
      </c>
      <c r="D28">
        <v>542597.98</v>
      </c>
      <c r="E28">
        <v>1.01</v>
      </c>
      <c r="F28">
        <v>20</v>
      </c>
      <c r="G28">
        <v>17</v>
      </c>
      <c r="H28">
        <v>96.47</v>
      </c>
      <c r="I28">
        <v>113.69</v>
      </c>
      <c r="J28">
        <v>19.75</v>
      </c>
      <c r="K28" t="b">
        <v>0</v>
      </c>
      <c r="L28">
        <v>-93.69</v>
      </c>
      <c r="M28">
        <v>0</v>
      </c>
      <c r="N28">
        <v>0</v>
      </c>
      <c r="O28">
        <v>2299.14</v>
      </c>
      <c r="P28">
        <v>0</v>
      </c>
      <c r="Q28">
        <v>2328.75</v>
      </c>
      <c r="R28">
        <v>0</v>
      </c>
      <c r="S28">
        <v>17.8</v>
      </c>
      <c r="T28">
        <v>70.8</v>
      </c>
      <c r="U28">
        <v>130.91</v>
      </c>
    </row>
    <row r="29" spans="1:21" x14ac:dyDescent="0.25">
      <c r="A29">
        <v>1028</v>
      </c>
      <c r="B29">
        <v>14.53</v>
      </c>
      <c r="C29">
        <v>269</v>
      </c>
      <c r="D29">
        <v>812993.94</v>
      </c>
      <c r="E29">
        <v>0.95</v>
      </c>
      <c r="F29">
        <v>16</v>
      </c>
      <c r="G29">
        <v>15</v>
      </c>
      <c r="H29">
        <v>92.82</v>
      </c>
      <c r="I29">
        <v>107.08</v>
      </c>
      <c r="J29">
        <v>16.829999999999998</v>
      </c>
      <c r="K29" t="b">
        <v>0</v>
      </c>
      <c r="L29">
        <v>-91.08</v>
      </c>
      <c r="M29">
        <v>0</v>
      </c>
      <c r="N29">
        <v>0</v>
      </c>
      <c r="O29">
        <v>3022.28</v>
      </c>
      <c r="P29">
        <v>0</v>
      </c>
      <c r="Q29">
        <v>2872.77</v>
      </c>
      <c r="R29">
        <v>0</v>
      </c>
      <c r="S29">
        <v>17.8</v>
      </c>
      <c r="T29">
        <v>80.7</v>
      </c>
      <c r="U29">
        <v>121.34</v>
      </c>
    </row>
    <row r="30" spans="1:21" x14ac:dyDescent="0.25">
      <c r="A30">
        <v>1029</v>
      </c>
      <c r="B30">
        <v>9.9600000000000009</v>
      </c>
      <c r="C30">
        <v>215</v>
      </c>
      <c r="D30">
        <v>667550.30000000005</v>
      </c>
      <c r="E30">
        <v>0.64</v>
      </c>
      <c r="F30">
        <v>26</v>
      </c>
      <c r="G30">
        <v>19</v>
      </c>
      <c r="H30">
        <v>71.66</v>
      </c>
      <c r="I30">
        <v>83.78</v>
      </c>
      <c r="J30">
        <v>40.75</v>
      </c>
      <c r="K30" t="b">
        <v>0</v>
      </c>
      <c r="L30">
        <v>-57.78</v>
      </c>
      <c r="M30">
        <v>0</v>
      </c>
      <c r="N30">
        <v>0</v>
      </c>
      <c r="O30">
        <v>3104.89</v>
      </c>
      <c r="P30">
        <v>0</v>
      </c>
      <c r="Q30">
        <v>1980.86</v>
      </c>
      <c r="R30">
        <v>0</v>
      </c>
      <c r="S30">
        <v>17.8</v>
      </c>
      <c r="T30">
        <v>64.5</v>
      </c>
      <c r="U30">
        <v>95.9</v>
      </c>
    </row>
    <row r="31" spans="1:21" x14ac:dyDescent="0.25">
      <c r="A31">
        <v>1030</v>
      </c>
      <c r="B31">
        <v>16.16</v>
      </c>
      <c r="C31">
        <v>293</v>
      </c>
      <c r="D31">
        <v>978432.57</v>
      </c>
      <c r="E31">
        <v>0.99</v>
      </c>
      <c r="F31">
        <v>19</v>
      </c>
      <c r="G31">
        <v>24</v>
      </c>
      <c r="H31">
        <v>130.62</v>
      </c>
      <c r="I31">
        <v>154.46</v>
      </c>
      <c r="J31">
        <v>19.13</v>
      </c>
      <c r="K31" t="b">
        <v>1</v>
      </c>
      <c r="L31">
        <v>-135.46</v>
      </c>
      <c r="M31">
        <v>4.87</v>
      </c>
      <c r="N31">
        <v>4.84</v>
      </c>
      <c r="O31">
        <v>3339.36</v>
      </c>
      <c r="P31">
        <v>16153.45</v>
      </c>
      <c r="Q31">
        <v>3316.72</v>
      </c>
      <c r="R31">
        <v>4.26</v>
      </c>
      <c r="S31">
        <v>22.06</v>
      </c>
      <c r="T31">
        <v>8165.6</v>
      </c>
      <c r="U31">
        <v>178.3</v>
      </c>
    </row>
    <row r="32" spans="1:21" x14ac:dyDescent="0.25">
      <c r="A32">
        <v>1031</v>
      </c>
      <c r="B32">
        <v>11.02</v>
      </c>
      <c r="C32">
        <v>64</v>
      </c>
      <c r="D32">
        <v>223359.48</v>
      </c>
      <c r="E32">
        <v>0.25</v>
      </c>
      <c r="F32">
        <v>15</v>
      </c>
      <c r="G32">
        <v>21</v>
      </c>
      <c r="H32">
        <v>83.29</v>
      </c>
      <c r="I32">
        <v>88.44</v>
      </c>
      <c r="J32">
        <v>61.17</v>
      </c>
      <c r="K32" t="b">
        <v>0</v>
      </c>
      <c r="L32">
        <v>-73.44</v>
      </c>
      <c r="M32">
        <v>0</v>
      </c>
      <c r="N32">
        <v>0</v>
      </c>
      <c r="O32">
        <v>3489.99</v>
      </c>
      <c r="P32">
        <v>0</v>
      </c>
      <c r="Q32">
        <v>855.78</v>
      </c>
      <c r="R32">
        <v>0</v>
      </c>
      <c r="S32">
        <v>22.06</v>
      </c>
      <c r="T32">
        <v>19.2</v>
      </c>
      <c r="U32">
        <v>93.59</v>
      </c>
    </row>
    <row r="33" spans="1:21" x14ac:dyDescent="0.25">
      <c r="A33">
        <v>1032</v>
      </c>
      <c r="B33">
        <v>14.92</v>
      </c>
      <c r="C33">
        <v>231</v>
      </c>
      <c r="D33">
        <v>895573.23</v>
      </c>
      <c r="E33">
        <v>0.8</v>
      </c>
      <c r="F33">
        <v>26</v>
      </c>
      <c r="G33">
        <v>24</v>
      </c>
      <c r="H33">
        <v>120.64</v>
      </c>
      <c r="I33">
        <v>139.83000000000001</v>
      </c>
      <c r="J33">
        <v>32.53</v>
      </c>
      <c r="K33" t="b">
        <v>0</v>
      </c>
      <c r="L33">
        <v>-113.83</v>
      </c>
      <c r="M33">
        <v>0</v>
      </c>
      <c r="N33">
        <v>0</v>
      </c>
      <c r="O33">
        <v>3876.94</v>
      </c>
      <c r="P33">
        <v>0</v>
      </c>
      <c r="Q33">
        <v>3098.87</v>
      </c>
      <c r="R33">
        <v>0</v>
      </c>
      <c r="S33">
        <v>22.06</v>
      </c>
      <c r="T33">
        <v>69.3</v>
      </c>
      <c r="U33">
        <v>159.01</v>
      </c>
    </row>
    <row r="34" spans="1:21" x14ac:dyDescent="0.25">
      <c r="A34">
        <v>1033</v>
      </c>
      <c r="B34">
        <v>14.15</v>
      </c>
      <c r="C34">
        <v>404</v>
      </c>
      <c r="D34">
        <v>979117.75</v>
      </c>
      <c r="E34">
        <v>1.3</v>
      </c>
      <c r="F34">
        <v>24</v>
      </c>
      <c r="G34">
        <v>23</v>
      </c>
      <c r="H34">
        <v>111.98</v>
      </c>
      <c r="I34">
        <v>141.96</v>
      </c>
      <c r="J34">
        <v>18.420000000000002</v>
      </c>
      <c r="K34" t="b">
        <v>1</v>
      </c>
      <c r="L34">
        <v>-117.96</v>
      </c>
      <c r="M34">
        <v>4.58</v>
      </c>
      <c r="N34">
        <v>5.97</v>
      </c>
      <c r="O34">
        <v>2423.56</v>
      </c>
      <c r="P34">
        <v>14478.81</v>
      </c>
      <c r="Q34">
        <v>3158.44</v>
      </c>
      <c r="R34">
        <v>3.82</v>
      </c>
      <c r="S34">
        <v>25.88</v>
      </c>
      <c r="T34">
        <v>7361.52</v>
      </c>
      <c r="U34">
        <v>171.93</v>
      </c>
    </row>
    <row r="35" spans="1:21" x14ac:dyDescent="0.25">
      <c r="A35">
        <v>1034</v>
      </c>
      <c r="B35">
        <v>14.28</v>
      </c>
      <c r="C35">
        <v>213</v>
      </c>
      <c r="D35">
        <v>360412.02</v>
      </c>
      <c r="E35">
        <v>0.72</v>
      </c>
      <c r="F35">
        <v>20</v>
      </c>
      <c r="G35">
        <v>21</v>
      </c>
      <c r="H35">
        <v>108</v>
      </c>
      <c r="I35">
        <v>123.11</v>
      </c>
      <c r="J35">
        <v>27.79</v>
      </c>
      <c r="K35" t="b">
        <v>0</v>
      </c>
      <c r="L35">
        <v>-103.11</v>
      </c>
      <c r="M35">
        <v>0</v>
      </c>
      <c r="N35">
        <v>0</v>
      </c>
      <c r="O35">
        <v>1692.08</v>
      </c>
      <c r="P35">
        <v>0</v>
      </c>
      <c r="Q35">
        <v>1217.6099999999999</v>
      </c>
      <c r="R35">
        <v>0</v>
      </c>
      <c r="S35">
        <v>25.88</v>
      </c>
      <c r="T35">
        <v>63.9</v>
      </c>
      <c r="U35">
        <v>138.22</v>
      </c>
    </row>
    <row r="36" spans="1:21" x14ac:dyDescent="0.25">
      <c r="A36">
        <v>1035</v>
      </c>
      <c r="B36">
        <v>17.100000000000001</v>
      </c>
      <c r="C36">
        <v>234</v>
      </c>
      <c r="D36">
        <v>752454.86</v>
      </c>
      <c r="E36">
        <v>0.88</v>
      </c>
      <c r="F36">
        <v>27</v>
      </c>
      <c r="G36">
        <v>23</v>
      </c>
      <c r="H36">
        <v>135.28</v>
      </c>
      <c r="I36">
        <v>155.44</v>
      </c>
      <c r="J36">
        <v>30.81</v>
      </c>
      <c r="K36" t="b">
        <v>0</v>
      </c>
      <c r="L36">
        <v>-128.44</v>
      </c>
      <c r="M36">
        <v>0</v>
      </c>
      <c r="N36">
        <v>0</v>
      </c>
      <c r="O36">
        <v>3215.62</v>
      </c>
      <c r="P36">
        <v>0</v>
      </c>
      <c r="Q36">
        <v>2818.18</v>
      </c>
      <c r="R36">
        <v>0</v>
      </c>
      <c r="S36">
        <v>25.88</v>
      </c>
      <c r="T36">
        <v>70.2</v>
      </c>
      <c r="U36">
        <v>175.6</v>
      </c>
    </row>
    <row r="37" spans="1:21" x14ac:dyDescent="0.25">
      <c r="A37">
        <v>1036</v>
      </c>
      <c r="B37">
        <v>13.28</v>
      </c>
      <c r="C37">
        <v>314</v>
      </c>
      <c r="D37">
        <v>969013.01</v>
      </c>
      <c r="E37">
        <v>1.02</v>
      </c>
      <c r="F37">
        <v>26</v>
      </c>
      <c r="G37">
        <v>22</v>
      </c>
      <c r="H37">
        <v>102.77</v>
      </c>
      <c r="I37">
        <v>125.2</v>
      </c>
      <c r="J37">
        <v>25.5</v>
      </c>
      <c r="K37" t="b">
        <v>0</v>
      </c>
      <c r="L37">
        <v>-99.2</v>
      </c>
      <c r="M37">
        <v>0</v>
      </c>
      <c r="N37">
        <v>0</v>
      </c>
      <c r="O37">
        <v>3086.03</v>
      </c>
      <c r="P37">
        <v>0</v>
      </c>
      <c r="Q37">
        <v>3146.15</v>
      </c>
      <c r="R37">
        <v>0</v>
      </c>
      <c r="S37">
        <v>25.88</v>
      </c>
      <c r="T37">
        <v>94.2</v>
      </c>
      <c r="U37">
        <v>147.63</v>
      </c>
    </row>
    <row r="38" spans="1:21" x14ac:dyDescent="0.25">
      <c r="A38">
        <v>1037</v>
      </c>
      <c r="B38">
        <v>15.37</v>
      </c>
      <c r="C38">
        <v>164</v>
      </c>
      <c r="D38">
        <v>534393.51</v>
      </c>
      <c r="E38">
        <v>0.49</v>
      </c>
      <c r="F38">
        <v>23</v>
      </c>
      <c r="G38">
        <v>16</v>
      </c>
      <c r="H38">
        <v>101.45</v>
      </c>
      <c r="I38">
        <v>109.26</v>
      </c>
      <c r="J38">
        <v>47.12</v>
      </c>
      <c r="K38" t="b">
        <v>0</v>
      </c>
      <c r="L38">
        <v>-86.26</v>
      </c>
      <c r="M38">
        <v>0</v>
      </c>
      <c r="N38">
        <v>0</v>
      </c>
      <c r="O38">
        <v>3258.5</v>
      </c>
      <c r="P38">
        <v>0</v>
      </c>
      <c r="Q38">
        <v>1590.46</v>
      </c>
      <c r="R38">
        <v>0</v>
      </c>
      <c r="S38">
        <v>25.88</v>
      </c>
      <c r="T38">
        <v>49.2</v>
      </c>
      <c r="U38">
        <v>117.07</v>
      </c>
    </row>
    <row r="39" spans="1:21" x14ac:dyDescent="0.25">
      <c r="A39">
        <v>1038</v>
      </c>
      <c r="B39">
        <v>14.28</v>
      </c>
      <c r="C39">
        <v>208</v>
      </c>
      <c r="D39">
        <v>501874.2</v>
      </c>
      <c r="E39">
        <v>0.75</v>
      </c>
      <c r="F39">
        <v>15</v>
      </c>
      <c r="G39">
        <v>15</v>
      </c>
      <c r="H39">
        <v>91.26</v>
      </c>
      <c r="I39">
        <v>102.45</v>
      </c>
      <c r="J39">
        <v>20.12</v>
      </c>
      <c r="K39" t="b">
        <v>0</v>
      </c>
      <c r="L39">
        <v>-87.45</v>
      </c>
      <c r="M39">
        <v>0</v>
      </c>
      <c r="N39">
        <v>0</v>
      </c>
      <c r="O39">
        <v>2412.86</v>
      </c>
      <c r="P39">
        <v>0</v>
      </c>
      <c r="Q39">
        <v>1798.83</v>
      </c>
      <c r="R39">
        <v>0</v>
      </c>
      <c r="S39">
        <v>25.88</v>
      </c>
      <c r="T39">
        <v>62.4</v>
      </c>
      <c r="U39">
        <v>113.63</v>
      </c>
    </row>
    <row r="40" spans="1:21" x14ac:dyDescent="0.25">
      <c r="A40">
        <v>1039</v>
      </c>
      <c r="B40">
        <v>15.43</v>
      </c>
      <c r="C40">
        <v>279</v>
      </c>
      <c r="D40">
        <v>874068.51</v>
      </c>
      <c r="E40">
        <v>1.07</v>
      </c>
      <c r="F40">
        <v>25</v>
      </c>
      <c r="G40">
        <v>21</v>
      </c>
      <c r="H40">
        <v>116.7</v>
      </c>
      <c r="I40">
        <v>139.15</v>
      </c>
      <c r="J40">
        <v>23.39</v>
      </c>
      <c r="K40" t="b">
        <v>0</v>
      </c>
      <c r="L40">
        <v>-114.15</v>
      </c>
      <c r="M40">
        <v>0</v>
      </c>
      <c r="N40">
        <v>0</v>
      </c>
      <c r="O40">
        <v>3132.86</v>
      </c>
      <c r="P40">
        <v>0</v>
      </c>
      <c r="Q40">
        <v>3348.92</v>
      </c>
      <c r="R40">
        <v>0</v>
      </c>
      <c r="S40">
        <v>25.88</v>
      </c>
      <c r="T40">
        <v>83.7</v>
      </c>
      <c r="U40">
        <v>161.6</v>
      </c>
    </row>
    <row r="41" spans="1:21" x14ac:dyDescent="0.25">
      <c r="A41">
        <v>1040</v>
      </c>
      <c r="B41">
        <v>16.329999999999998</v>
      </c>
      <c r="C41">
        <v>168</v>
      </c>
      <c r="D41">
        <v>441395.75</v>
      </c>
      <c r="E41">
        <v>0.54</v>
      </c>
      <c r="F41">
        <v>25</v>
      </c>
      <c r="G41">
        <v>21</v>
      </c>
      <c r="H41">
        <v>123.51</v>
      </c>
      <c r="I41">
        <v>134.91999999999999</v>
      </c>
      <c r="J41">
        <v>45.98</v>
      </c>
      <c r="K41" t="b">
        <v>0</v>
      </c>
      <c r="L41">
        <v>-109.92</v>
      </c>
      <c r="M41">
        <v>0</v>
      </c>
      <c r="N41">
        <v>0</v>
      </c>
      <c r="O41">
        <v>2627.36</v>
      </c>
      <c r="P41">
        <v>0</v>
      </c>
      <c r="Q41">
        <v>1428.47</v>
      </c>
      <c r="R41">
        <v>0</v>
      </c>
      <c r="S41">
        <v>25.88</v>
      </c>
      <c r="T41">
        <v>50.4</v>
      </c>
      <c r="U41">
        <v>146.34</v>
      </c>
    </row>
    <row r="42" spans="1:21" x14ac:dyDescent="0.25">
      <c r="A42">
        <v>1041</v>
      </c>
      <c r="B42">
        <v>5.56</v>
      </c>
      <c r="C42">
        <v>151</v>
      </c>
      <c r="D42">
        <v>288497.74</v>
      </c>
      <c r="E42">
        <v>0.48</v>
      </c>
      <c r="F42">
        <v>29</v>
      </c>
      <c r="G42">
        <v>22</v>
      </c>
      <c r="H42">
        <v>43.03</v>
      </c>
      <c r="I42">
        <v>53.65</v>
      </c>
      <c r="J42">
        <v>60.11</v>
      </c>
      <c r="K42" t="b">
        <v>0</v>
      </c>
      <c r="L42">
        <v>-24.65</v>
      </c>
      <c r="M42">
        <v>0</v>
      </c>
      <c r="N42">
        <v>0</v>
      </c>
      <c r="O42">
        <v>1910.58</v>
      </c>
      <c r="P42">
        <v>0</v>
      </c>
      <c r="Q42">
        <v>921.72</v>
      </c>
      <c r="R42">
        <v>0</v>
      </c>
      <c r="S42">
        <v>25.88</v>
      </c>
      <c r="T42">
        <v>45.3</v>
      </c>
      <c r="U42">
        <v>64.260000000000005</v>
      </c>
    </row>
    <row r="43" spans="1:21" x14ac:dyDescent="0.25">
      <c r="A43">
        <v>1042</v>
      </c>
      <c r="B43">
        <v>13.14</v>
      </c>
      <c r="C43">
        <v>216</v>
      </c>
      <c r="D43">
        <v>472613.54</v>
      </c>
      <c r="E43">
        <v>0.95</v>
      </c>
      <c r="F43">
        <v>24</v>
      </c>
      <c r="G43">
        <v>19</v>
      </c>
      <c r="H43">
        <v>94.53</v>
      </c>
      <c r="I43">
        <v>112.61</v>
      </c>
      <c r="J43">
        <v>25.22</v>
      </c>
      <c r="K43" t="b">
        <v>0</v>
      </c>
      <c r="L43">
        <v>-88.61</v>
      </c>
      <c r="M43">
        <v>0</v>
      </c>
      <c r="N43">
        <v>0</v>
      </c>
      <c r="O43">
        <v>2188.0300000000002</v>
      </c>
      <c r="P43">
        <v>0</v>
      </c>
      <c r="Q43">
        <v>2082</v>
      </c>
      <c r="R43">
        <v>0</v>
      </c>
      <c r="S43">
        <v>25.88</v>
      </c>
      <c r="T43">
        <v>64.8</v>
      </c>
      <c r="U43">
        <v>130.69</v>
      </c>
    </row>
    <row r="44" spans="1:21" x14ac:dyDescent="0.25">
      <c r="A44">
        <v>1043</v>
      </c>
      <c r="B44">
        <v>8.83</v>
      </c>
      <c r="C44">
        <v>65</v>
      </c>
      <c r="D44">
        <v>191699.04</v>
      </c>
      <c r="E44">
        <v>0.47</v>
      </c>
      <c r="F44">
        <v>26</v>
      </c>
      <c r="G44">
        <v>17</v>
      </c>
      <c r="H44">
        <v>60.08</v>
      </c>
      <c r="I44">
        <v>68.03</v>
      </c>
      <c r="J44">
        <v>55.6</v>
      </c>
      <c r="K44" t="b">
        <v>0</v>
      </c>
      <c r="L44">
        <v>-42.03</v>
      </c>
      <c r="M44">
        <v>0</v>
      </c>
      <c r="N44">
        <v>0</v>
      </c>
      <c r="O44">
        <v>2949.22</v>
      </c>
      <c r="P44">
        <v>0</v>
      </c>
      <c r="Q44">
        <v>1379.13</v>
      </c>
      <c r="R44">
        <v>0</v>
      </c>
      <c r="S44">
        <v>25.88</v>
      </c>
      <c r="T44">
        <v>19.5</v>
      </c>
      <c r="U44">
        <v>75.98</v>
      </c>
    </row>
    <row r="45" spans="1:21" x14ac:dyDescent="0.25">
      <c r="A45">
        <v>1044</v>
      </c>
      <c r="B45">
        <v>13.56</v>
      </c>
      <c r="C45">
        <v>180</v>
      </c>
      <c r="D45">
        <v>467177.29</v>
      </c>
      <c r="E45">
        <v>0.56000000000000005</v>
      </c>
      <c r="F45">
        <v>26</v>
      </c>
      <c r="G45">
        <v>22</v>
      </c>
      <c r="H45">
        <v>104.98</v>
      </c>
      <c r="I45">
        <v>117.28</v>
      </c>
      <c r="J45">
        <v>46.51</v>
      </c>
      <c r="K45" t="b">
        <v>0</v>
      </c>
      <c r="L45">
        <v>-91.28</v>
      </c>
      <c r="M45">
        <v>0</v>
      </c>
      <c r="N45">
        <v>0</v>
      </c>
      <c r="O45">
        <v>2595.4299999999998</v>
      </c>
      <c r="P45">
        <v>0</v>
      </c>
      <c r="Q45">
        <v>1450.86</v>
      </c>
      <c r="R45">
        <v>0</v>
      </c>
      <c r="S45">
        <v>25.88</v>
      </c>
      <c r="T45">
        <v>54</v>
      </c>
      <c r="U45">
        <v>129.58000000000001</v>
      </c>
    </row>
    <row r="46" spans="1:21" x14ac:dyDescent="0.25">
      <c r="A46">
        <v>1045</v>
      </c>
      <c r="B46">
        <v>15.67</v>
      </c>
      <c r="C46">
        <v>221</v>
      </c>
      <c r="D46">
        <v>672185.39</v>
      </c>
      <c r="E46">
        <v>0.65</v>
      </c>
      <c r="F46">
        <v>29</v>
      </c>
      <c r="G46">
        <v>20</v>
      </c>
      <c r="H46">
        <v>115.62</v>
      </c>
      <c r="I46">
        <v>128.69999999999999</v>
      </c>
      <c r="J46">
        <v>44.35</v>
      </c>
      <c r="K46" t="b">
        <v>0</v>
      </c>
      <c r="L46">
        <v>-99.7</v>
      </c>
      <c r="M46">
        <v>0</v>
      </c>
      <c r="N46">
        <v>0</v>
      </c>
      <c r="O46">
        <v>3041.56</v>
      </c>
      <c r="P46">
        <v>0</v>
      </c>
      <c r="Q46">
        <v>1988.71</v>
      </c>
      <c r="R46">
        <v>0</v>
      </c>
      <c r="S46">
        <v>25.88</v>
      </c>
      <c r="T46">
        <v>66.3</v>
      </c>
      <c r="U46">
        <v>141.78</v>
      </c>
    </row>
    <row r="47" spans="1:21" x14ac:dyDescent="0.25">
      <c r="A47">
        <v>1046</v>
      </c>
      <c r="B47">
        <v>18.36</v>
      </c>
      <c r="C47">
        <v>184</v>
      </c>
      <c r="D47">
        <v>505852.55</v>
      </c>
      <c r="E47">
        <v>0.74</v>
      </c>
      <c r="F47">
        <v>28</v>
      </c>
      <c r="G47">
        <v>17</v>
      </c>
      <c r="H47">
        <v>124.93</v>
      </c>
      <c r="I47">
        <v>137.55000000000001</v>
      </c>
      <c r="J47">
        <v>37.74</v>
      </c>
      <c r="K47" t="b">
        <v>0</v>
      </c>
      <c r="L47">
        <v>-109.55</v>
      </c>
      <c r="M47">
        <v>0</v>
      </c>
      <c r="N47">
        <v>0</v>
      </c>
      <c r="O47">
        <v>2749.2</v>
      </c>
      <c r="P47">
        <v>0</v>
      </c>
      <c r="Q47">
        <v>2039.73</v>
      </c>
      <c r="R47">
        <v>0</v>
      </c>
      <c r="S47">
        <v>25.88</v>
      </c>
      <c r="T47">
        <v>55.2</v>
      </c>
      <c r="U47">
        <v>150.16</v>
      </c>
    </row>
    <row r="48" spans="1:21" x14ac:dyDescent="0.25">
      <c r="A48">
        <v>1047</v>
      </c>
      <c r="B48">
        <v>11.79</v>
      </c>
      <c r="C48">
        <v>354</v>
      </c>
      <c r="D48">
        <v>993636.24</v>
      </c>
      <c r="E48">
        <v>1.31</v>
      </c>
      <c r="F48">
        <v>28</v>
      </c>
      <c r="G48">
        <v>15</v>
      </c>
      <c r="H48">
        <v>75.34</v>
      </c>
      <c r="I48">
        <v>95.01</v>
      </c>
      <c r="J48">
        <v>21.36</v>
      </c>
      <c r="K48" t="b">
        <v>0</v>
      </c>
      <c r="L48">
        <v>-67.010000000000005</v>
      </c>
      <c r="M48">
        <v>0</v>
      </c>
      <c r="N48">
        <v>0</v>
      </c>
      <c r="O48">
        <v>2806.88</v>
      </c>
      <c r="P48">
        <v>0</v>
      </c>
      <c r="Q48">
        <v>3680.13</v>
      </c>
      <c r="R48">
        <v>0</v>
      </c>
      <c r="S48">
        <v>25.88</v>
      </c>
      <c r="T48">
        <v>106.2</v>
      </c>
      <c r="U48">
        <v>114.68</v>
      </c>
    </row>
    <row r="49" spans="1:21" x14ac:dyDescent="0.25">
      <c r="A49">
        <v>1048</v>
      </c>
      <c r="B49">
        <v>19.39</v>
      </c>
      <c r="C49">
        <v>280</v>
      </c>
      <c r="D49">
        <v>1024216.03</v>
      </c>
      <c r="E49">
        <v>0.99</v>
      </c>
      <c r="F49">
        <v>29</v>
      </c>
      <c r="G49">
        <v>17</v>
      </c>
      <c r="H49">
        <v>131.9</v>
      </c>
      <c r="I49">
        <v>148.77000000000001</v>
      </c>
      <c r="J49">
        <v>29.21</v>
      </c>
      <c r="K49" t="b">
        <v>0</v>
      </c>
      <c r="L49">
        <v>-119.77</v>
      </c>
      <c r="M49">
        <v>0</v>
      </c>
      <c r="N49">
        <v>0</v>
      </c>
      <c r="O49">
        <v>3657.91</v>
      </c>
      <c r="P49">
        <v>0</v>
      </c>
      <c r="Q49">
        <v>3631.97</v>
      </c>
      <c r="R49">
        <v>0</v>
      </c>
      <c r="S49">
        <v>25.88</v>
      </c>
      <c r="T49">
        <v>84</v>
      </c>
      <c r="U49">
        <v>165.65</v>
      </c>
    </row>
    <row r="50" spans="1:21" x14ac:dyDescent="0.25">
      <c r="A50">
        <v>1049</v>
      </c>
      <c r="B50">
        <v>13.32</v>
      </c>
      <c r="C50">
        <v>240</v>
      </c>
      <c r="D50">
        <v>902410.18</v>
      </c>
      <c r="E50">
        <v>0.77</v>
      </c>
      <c r="F50">
        <v>28</v>
      </c>
      <c r="G50">
        <v>19</v>
      </c>
      <c r="H50">
        <v>95.82</v>
      </c>
      <c r="I50">
        <v>110.44</v>
      </c>
      <c r="J50">
        <v>36.4</v>
      </c>
      <c r="K50" t="b">
        <v>0</v>
      </c>
      <c r="L50">
        <v>-82.44</v>
      </c>
      <c r="M50">
        <v>0</v>
      </c>
      <c r="N50">
        <v>0</v>
      </c>
      <c r="O50">
        <v>3760.04</v>
      </c>
      <c r="P50">
        <v>0</v>
      </c>
      <c r="Q50">
        <v>2892.34</v>
      </c>
      <c r="R50">
        <v>0</v>
      </c>
      <c r="S50">
        <v>25.88</v>
      </c>
      <c r="T50">
        <v>72</v>
      </c>
      <c r="U50">
        <v>125.05</v>
      </c>
    </row>
    <row r="51" spans="1:21" x14ac:dyDescent="0.25">
      <c r="A51">
        <v>1050</v>
      </c>
      <c r="B51">
        <v>14.31</v>
      </c>
      <c r="C51">
        <v>265</v>
      </c>
      <c r="D51">
        <v>662531.62</v>
      </c>
      <c r="E51">
        <v>0.96</v>
      </c>
      <c r="F51">
        <v>17</v>
      </c>
      <c r="G51">
        <v>17</v>
      </c>
      <c r="H51">
        <v>97.35</v>
      </c>
      <c r="I51">
        <v>113.68</v>
      </c>
      <c r="J51">
        <v>17.71</v>
      </c>
      <c r="K51" t="b">
        <v>0</v>
      </c>
      <c r="L51">
        <v>-96.68</v>
      </c>
      <c r="M51">
        <v>0</v>
      </c>
      <c r="N51">
        <v>0</v>
      </c>
      <c r="O51">
        <v>2500.12</v>
      </c>
      <c r="P51">
        <v>0</v>
      </c>
      <c r="Q51">
        <v>2400.48</v>
      </c>
      <c r="R51">
        <v>0</v>
      </c>
      <c r="S51">
        <v>25.88</v>
      </c>
      <c r="T51">
        <v>79.5</v>
      </c>
      <c r="U51">
        <v>130</v>
      </c>
    </row>
    <row r="52" spans="1:21" x14ac:dyDescent="0.25">
      <c r="A52">
        <v>1051</v>
      </c>
      <c r="B52">
        <v>13.21</v>
      </c>
      <c r="C52">
        <v>261</v>
      </c>
      <c r="D52">
        <v>688026.3</v>
      </c>
      <c r="E52">
        <v>0.76</v>
      </c>
      <c r="F52">
        <v>26</v>
      </c>
      <c r="G52">
        <v>15</v>
      </c>
      <c r="H52">
        <v>84.44</v>
      </c>
      <c r="I52">
        <v>95.85</v>
      </c>
      <c r="J52">
        <v>34.17</v>
      </c>
      <c r="K52" t="b">
        <v>0</v>
      </c>
      <c r="L52">
        <v>-69.849999999999994</v>
      </c>
      <c r="M52">
        <v>0</v>
      </c>
      <c r="N52">
        <v>0</v>
      </c>
      <c r="O52">
        <v>2636.12</v>
      </c>
      <c r="P52">
        <v>0</v>
      </c>
      <c r="Q52">
        <v>2005.91</v>
      </c>
      <c r="R52">
        <v>0</v>
      </c>
      <c r="S52">
        <v>25.88</v>
      </c>
      <c r="T52">
        <v>78.3</v>
      </c>
      <c r="U52">
        <v>107.26</v>
      </c>
    </row>
    <row r="53" spans="1:21" x14ac:dyDescent="0.25">
      <c r="A53">
        <v>1052</v>
      </c>
      <c r="B53">
        <v>17.25</v>
      </c>
      <c r="C53">
        <v>277</v>
      </c>
      <c r="D53">
        <v>699216.34</v>
      </c>
      <c r="E53">
        <v>0.79</v>
      </c>
      <c r="F53">
        <v>21</v>
      </c>
      <c r="G53">
        <v>19</v>
      </c>
      <c r="H53">
        <v>124.06</v>
      </c>
      <c r="I53">
        <v>139.01</v>
      </c>
      <c r="J53">
        <v>26.69</v>
      </c>
      <c r="K53" t="b">
        <v>0</v>
      </c>
      <c r="L53">
        <v>-118.01</v>
      </c>
      <c r="M53">
        <v>0</v>
      </c>
      <c r="N53">
        <v>0</v>
      </c>
      <c r="O53">
        <v>2524.25</v>
      </c>
      <c r="P53">
        <v>0</v>
      </c>
      <c r="Q53">
        <v>1986.41</v>
      </c>
      <c r="R53">
        <v>0</v>
      </c>
      <c r="S53">
        <v>25.88</v>
      </c>
      <c r="T53">
        <v>83.1</v>
      </c>
      <c r="U53">
        <v>153.96</v>
      </c>
    </row>
    <row r="54" spans="1:21" x14ac:dyDescent="0.25">
      <c r="A54">
        <v>1053</v>
      </c>
      <c r="B54">
        <v>18.53</v>
      </c>
      <c r="C54">
        <v>309</v>
      </c>
      <c r="D54">
        <v>926014.92</v>
      </c>
      <c r="E54">
        <v>0.92</v>
      </c>
      <c r="F54">
        <v>18</v>
      </c>
      <c r="G54">
        <v>24</v>
      </c>
      <c r="H54">
        <v>149.81</v>
      </c>
      <c r="I54">
        <v>171.88</v>
      </c>
      <c r="J54">
        <v>19.57</v>
      </c>
      <c r="K54" t="b">
        <v>1</v>
      </c>
      <c r="L54">
        <v>-153.88</v>
      </c>
      <c r="M54">
        <v>4.43</v>
      </c>
      <c r="N54">
        <v>4.07</v>
      </c>
      <c r="O54">
        <v>2996.81</v>
      </c>
      <c r="P54">
        <v>12201.31</v>
      </c>
      <c r="Q54">
        <v>2756</v>
      </c>
      <c r="R54">
        <v>3.22</v>
      </c>
      <c r="S54">
        <v>29.1</v>
      </c>
      <c r="T54">
        <v>6194.24</v>
      </c>
      <c r="U54">
        <v>193.96</v>
      </c>
    </row>
    <row r="55" spans="1:21" x14ac:dyDescent="0.25">
      <c r="A55">
        <v>1054</v>
      </c>
      <c r="B55">
        <v>15.41</v>
      </c>
      <c r="C55">
        <v>348</v>
      </c>
      <c r="D55">
        <v>1256881.3999999999</v>
      </c>
      <c r="E55">
        <v>1.19</v>
      </c>
      <c r="F55">
        <v>23</v>
      </c>
      <c r="G55">
        <v>21</v>
      </c>
      <c r="H55">
        <v>116.52</v>
      </c>
      <c r="I55">
        <v>141.46</v>
      </c>
      <c r="J55">
        <v>19.36</v>
      </c>
      <c r="K55" t="b">
        <v>1</v>
      </c>
      <c r="L55">
        <v>-118.46</v>
      </c>
      <c r="M55">
        <v>1.64</v>
      </c>
      <c r="N55">
        <v>1.94</v>
      </c>
      <c r="O55">
        <v>3611.73</v>
      </c>
      <c r="P55">
        <v>7013.9</v>
      </c>
      <c r="Q55">
        <v>4289.7</v>
      </c>
      <c r="R55">
        <v>1.85</v>
      </c>
      <c r="S55">
        <v>30.95</v>
      </c>
      <c r="T55">
        <v>3611.68</v>
      </c>
      <c r="U55">
        <v>166.4</v>
      </c>
    </row>
    <row r="56" spans="1:21" x14ac:dyDescent="0.25">
      <c r="A56">
        <v>1055</v>
      </c>
      <c r="B56">
        <v>16.96</v>
      </c>
      <c r="C56">
        <v>176</v>
      </c>
      <c r="D56">
        <v>603513.67000000004</v>
      </c>
      <c r="E56">
        <v>0.7</v>
      </c>
      <c r="F56">
        <v>17</v>
      </c>
      <c r="G56">
        <v>21</v>
      </c>
      <c r="H56">
        <v>128.19999999999999</v>
      </c>
      <c r="I56">
        <v>142.87</v>
      </c>
      <c r="J56">
        <v>24.34</v>
      </c>
      <c r="K56" t="b">
        <v>0</v>
      </c>
      <c r="L56">
        <v>-125.87</v>
      </c>
      <c r="M56">
        <v>0</v>
      </c>
      <c r="N56">
        <v>0</v>
      </c>
      <c r="O56">
        <v>3429.05</v>
      </c>
      <c r="P56">
        <v>0</v>
      </c>
      <c r="Q56">
        <v>2394.9</v>
      </c>
      <c r="R56">
        <v>0</v>
      </c>
      <c r="S56">
        <v>30.95</v>
      </c>
      <c r="T56">
        <v>52.8</v>
      </c>
      <c r="U56">
        <v>157.54</v>
      </c>
    </row>
    <row r="57" spans="1:21" x14ac:dyDescent="0.25">
      <c r="A57">
        <v>1056</v>
      </c>
      <c r="B57">
        <v>14.16</v>
      </c>
      <c r="C57">
        <v>253</v>
      </c>
      <c r="D57">
        <v>491945.08</v>
      </c>
      <c r="E57">
        <v>0.73</v>
      </c>
      <c r="F57">
        <v>19</v>
      </c>
      <c r="G57">
        <v>23</v>
      </c>
      <c r="H57">
        <v>112.08</v>
      </c>
      <c r="I57">
        <v>128.80000000000001</v>
      </c>
      <c r="J57">
        <v>26.13</v>
      </c>
      <c r="K57" t="b">
        <v>0</v>
      </c>
      <c r="L57">
        <v>-109.8</v>
      </c>
      <c r="M57">
        <v>0</v>
      </c>
      <c r="N57">
        <v>0</v>
      </c>
      <c r="O57">
        <v>1944.45</v>
      </c>
      <c r="P57">
        <v>0</v>
      </c>
      <c r="Q57">
        <v>1413.64</v>
      </c>
      <c r="R57">
        <v>0</v>
      </c>
      <c r="S57">
        <v>30.95</v>
      </c>
      <c r="T57">
        <v>75.900000000000006</v>
      </c>
      <c r="U57">
        <v>145.52000000000001</v>
      </c>
    </row>
    <row r="58" spans="1:21" x14ac:dyDescent="0.25">
      <c r="A58">
        <v>1057</v>
      </c>
      <c r="B58">
        <v>11.18</v>
      </c>
      <c r="C58">
        <v>247</v>
      </c>
      <c r="D58">
        <v>823674.31</v>
      </c>
      <c r="E58">
        <v>0.7</v>
      </c>
      <c r="F58">
        <v>17</v>
      </c>
      <c r="G58">
        <v>24</v>
      </c>
      <c r="H58">
        <v>90.38</v>
      </c>
      <c r="I58">
        <v>107.18</v>
      </c>
      <c r="J58">
        <v>24.3</v>
      </c>
      <c r="K58" t="b">
        <v>0</v>
      </c>
      <c r="L58">
        <v>-90.18</v>
      </c>
      <c r="M58">
        <v>0</v>
      </c>
      <c r="N58">
        <v>0</v>
      </c>
      <c r="O58">
        <v>3334.71</v>
      </c>
      <c r="P58">
        <v>0</v>
      </c>
      <c r="Q58">
        <v>2333.35</v>
      </c>
      <c r="R58">
        <v>0</v>
      </c>
      <c r="S58">
        <v>30.95</v>
      </c>
      <c r="T58">
        <v>74.099999999999994</v>
      </c>
      <c r="U58">
        <v>123.97</v>
      </c>
    </row>
    <row r="59" spans="1:21" x14ac:dyDescent="0.25">
      <c r="A59">
        <v>1058</v>
      </c>
      <c r="B59">
        <v>16.559999999999999</v>
      </c>
      <c r="C59">
        <v>452</v>
      </c>
      <c r="D59">
        <v>1205704.3999999999</v>
      </c>
      <c r="E59">
        <v>1.28</v>
      </c>
      <c r="F59">
        <v>21</v>
      </c>
      <c r="G59">
        <v>24</v>
      </c>
      <c r="H59">
        <v>133.83000000000001</v>
      </c>
      <c r="I59">
        <v>164.65</v>
      </c>
      <c r="J59">
        <v>16.350000000000001</v>
      </c>
      <c r="K59" t="b">
        <v>1</v>
      </c>
      <c r="L59">
        <v>-143.65</v>
      </c>
      <c r="M59">
        <v>7.65</v>
      </c>
      <c r="N59">
        <v>9.82</v>
      </c>
      <c r="O59">
        <v>2667.49</v>
      </c>
      <c r="P59">
        <v>26189.88</v>
      </c>
      <c r="Q59">
        <v>3425.3</v>
      </c>
      <c r="R59">
        <v>6.91</v>
      </c>
      <c r="S59">
        <v>37.86</v>
      </c>
      <c r="T59">
        <v>13232.07</v>
      </c>
      <c r="U59">
        <v>195.47</v>
      </c>
    </row>
    <row r="60" spans="1:21" x14ac:dyDescent="0.25">
      <c r="A60">
        <v>1059</v>
      </c>
      <c r="B60">
        <v>13.88</v>
      </c>
      <c r="C60">
        <v>227</v>
      </c>
      <c r="D60">
        <v>592461.48</v>
      </c>
      <c r="E60">
        <v>1.03</v>
      </c>
      <c r="F60">
        <v>19</v>
      </c>
      <c r="G60">
        <v>17</v>
      </c>
      <c r="H60">
        <v>94.43</v>
      </c>
      <c r="I60">
        <v>111.89</v>
      </c>
      <c r="J60">
        <v>18.5</v>
      </c>
      <c r="K60" t="b">
        <v>0</v>
      </c>
      <c r="L60">
        <v>-92.89</v>
      </c>
      <c r="M60">
        <v>0</v>
      </c>
      <c r="N60">
        <v>0</v>
      </c>
      <c r="O60">
        <v>2609.96</v>
      </c>
      <c r="P60">
        <v>0</v>
      </c>
      <c r="Q60">
        <v>2680.82</v>
      </c>
      <c r="R60">
        <v>0</v>
      </c>
      <c r="S60">
        <v>37.86</v>
      </c>
      <c r="T60">
        <v>68.099999999999994</v>
      </c>
      <c r="U60">
        <v>129.36000000000001</v>
      </c>
    </row>
    <row r="61" spans="1:21" x14ac:dyDescent="0.25">
      <c r="A61">
        <v>1060</v>
      </c>
      <c r="B61">
        <v>15.64</v>
      </c>
      <c r="C61">
        <v>280</v>
      </c>
      <c r="D61">
        <v>928307.77</v>
      </c>
      <c r="E61">
        <v>0.82</v>
      </c>
      <c r="F61">
        <v>23</v>
      </c>
      <c r="G61">
        <v>21</v>
      </c>
      <c r="H61">
        <v>118.27</v>
      </c>
      <c r="I61">
        <v>135.57</v>
      </c>
      <c r="J61">
        <v>27.93</v>
      </c>
      <c r="K61" t="b">
        <v>0</v>
      </c>
      <c r="L61">
        <v>-112.57</v>
      </c>
      <c r="M61">
        <v>0</v>
      </c>
      <c r="N61">
        <v>0</v>
      </c>
      <c r="O61">
        <v>3315.38</v>
      </c>
      <c r="P61">
        <v>0</v>
      </c>
      <c r="Q61">
        <v>2730.32</v>
      </c>
      <c r="R61">
        <v>0</v>
      </c>
      <c r="S61">
        <v>37.86</v>
      </c>
      <c r="T61">
        <v>84</v>
      </c>
      <c r="U61">
        <v>152.86000000000001</v>
      </c>
    </row>
    <row r="62" spans="1:21" x14ac:dyDescent="0.25">
      <c r="A62">
        <v>1061</v>
      </c>
      <c r="B62">
        <v>11.46</v>
      </c>
      <c r="C62">
        <v>391</v>
      </c>
      <c r="D62">
        <v>1097459.1100000001</v>
      </c>
      <c r="E62">
        <v>1.18</v>
      </c>
      <c r="F62">
        <v>21</v>
      </c>
      <c r="G62">
        <v>15</v>
      </c>
      <c r="H62">
        <v>73.239999999999995</v>
      </c>
      <c r="I62">
        <v>90.91</v>
      </c>
      <c r="J62">
        <v>17.829999999999998</v>
      </c>
      <c r="K62" t="b">
        <v>0</v>
      </c>
      <c r="L62">
        <v>-69.91</v>
      </c>
      <c r="M62">
        <v>0</v>
      </c>
      <c r="N62">
        <v>0</v>
      </c>
      <c r="O62">
        <v>2806.8</v>
      </c>
      <c r="P62">
        <v>0</v>
      </c>
      <c r="Q62">
        <v>3305.6</v>
      </c>
      <c r="R62">
        <v>0</v>
      </c>
      <c r="S62">
        <v>37.86</v>
      </c>
      <c r="T62">
        <v>117.3</v>
      </c>
      <c r="U62">
        <v>108.57</v>
      </c>
    </row>
    <row r="63" spans="1:21" x14ac:dyDescent="0.25">
      <c r="A63">
        <v>1062</v>
      </c>
      <c r="B63">
        <v>15.1</v>
      </c>
      <c r="C63">
        <v>506</v>
      </c>
      <c r="D63">
        <v>1192222.3799999999</v>
      </c>
      <c r="E63">
        <v>1.49</v>
      </c>
      <c r="F63">
        <v>16</v>
      </c>
      <c r="G63">
        <v>18</v>
      </c>
      <c r="H63">
        <v>105.73</v>
      </c>
      <c r="I63">
        <v>132.6</v>
      </c>
      <c r="J63">
        <v>10.72</v>
      </c>
      <c r="K63" t="b">
        <v>1</v>
      </c>
      <c r="L63">
        <v>-116.6</v>
      </c>
      <c r="M63">
        <v>7.28</v>
      </c>
      <c r="N63">
        <v>10.87</v>
      </c>
      <c r="O63">
        <v>2356.17</v>
      </c>
      <c r="P63">
        <v>25605.11</v>
      </c>
      <c r="Q63">
        <v>3516.88</v>
      </c>
      <c r="R63">
        <v>6.76</v>
      </c>
      <c r="S63">
        <v>44.62</v>
      </c>
      <c r="T63">
        <v>12955.81</v>
      </c>
      <c r="U63">
        <v>159.47</v>
      </c>
    </row>
    <row r="64" spans="1:21" x14ac:dyDescent="0.25">
      <c r="A64">
        <v>1063</v>
      </c>
      <c r="B64">
        <v>14.49</v>
      </c>
      <c r="C64">
        <v>373</v>
      </c>
      <c r="D64">
        <v>1068608.51</v>
      </c>
      <c r="E64">
        <v>1.4</v>
      </c>
      <c r="F64">
        <v>18</v>
      </c>
      <c r="G64">
        <v>18</v>
      </c>
      <c r="H64">
        <v>101.42</v>
      </c>
      <c r="I64">
        <v>126.57</v>
      </c>
      <c r="J64">
        <v>12.88</v>
      </c>
      <c r="K64" t="b">
        <v>1</v>
      </c>
      <c r="L64">
        <v>-108.57</v>
      </c>
      <c r="M64">
        <v>5.12</v>
      </c>
      <c r="N64">
        <v>7.15</v>
      </c>
      <c r="O64">
        <v>2864.9</v>
      </c>
      <c r="P64">
        <v>20472.78</v>
      </c>
      <c r="Q64">
        <v>4002.28</v>
      </c>
      <c r="R64">
        <v>5.4</v>
      </c>
      <c r="S64">
        <v>50.02</v>
      </c>
      <c r="T64">
        <v>10349.32</v>
      </c>
      <c r="U64">
        <v>151.71</v>
      </c>
    </row>
    <row r="65" spans="1:21" x14ac:dyDescent="0.25">
      <c r="A65">
        <v>1064</v>
      </c>
      <c r="B65">
        <v>14.14</v>
      </c>
      <c r="C65">
        <v>156</v>
      </c>
      <c r="D65">
        <v>433576.83</v>
      </c>
      <c r="E65">
        <v>0.44</v>
      </c>
      <c r="F65">
        <v>23</v>
      </c>
      <c r="G65">
        <v>19</v>
      </c>
      <c r="H65">
        <v>101.71</v>
      </c>
      <c r="I65">
        <v>110.13</v>
      </c>
      <c r="J65">
        <v>51.9</v>
      </c>
      <c r="K65" t="b">
        <v>0</v>
      </c>
      <c r="L65">
        <v>-87.13</v>
      </c>
      <c r="M65">
        <v>0</v>
      </c>
      <c r="N65">
        <v>0</v>
      </c>
      <c r="O65">
        <v>2779.34</v>
      </c>
      <c r="P65">
        <v>0</v>
      </c>
      <c r="Q65">
        <v>1231.75</v>
      </c>
      <c r="R65">
        <v>0</v>
      </c>
      <c r="S65">
        <v>50.02</v>
      </c>
      <c r="T65">
        <v>46.8</v>
      </c>
      <c r="U65">
        <v>118.55</v>
      </c>
    </row>
    <row r="66" spans="1:21" x14ac:dyDescent="0.25">
      <c r="A66">
        <v>1065</v>
      </c>
      <c r="B66">
        <v>7.41</v>
      </c>
      <c r="C66">
        <v>105</v>
      </c>
      <c r="D66">
        <v>296587.77</v>
      </c>
      <c r="E66">
        <v>0.28999999999999998</v>
      </c>
      <c r="F66">
        <v>26</v>
      </c>
      <c r="G66">
        <v>21</v>
      </c>
      <c r="H66">
        <v>56.07</v>
      </c>
      <c r="I66">
        <v>62.23</v>
      </c>
      <c r="J66">
        <v>88.65</v>
      </c>
      <c r="K66" t="b">
        <v>0</v>
      </c>
      <c r="L66">
        <v>-36.229999999999997</v>
      </c>
      <c r="M66">
        <v>0</v>
      </c>
      <c r="N66">
        <v>0</v>
      </c>
      <c r="O66">
        <v>2824.65</v>
      </c>
      <c r="P66">
        <v>0</v>
      </c>
      <c r="Q66">
        <v>828.46</v>
      </c>
      <c r="R66">
        <v>0</v>
      </c>
      <c r="S66">
        <v>50.02</v>
      </c>
      <c r="T66">
        <v>31.5</v>
      </c>
      <c r="U66">
        <v>68.39</v>
      </c>
    </row>
    <row r="67" spans="1:21" x14ac:dyDescent="0.25">
      <c r="A67">
        <v>1066</v>
      </c>
      <c r="B67">
        <v>18</v>
      </c>
      <c r="C67">
        <v>158</v>
      </c>
      <c r="D67">
        <v>373198.37</v>
      </c>
      <c r="E67">
        <v>0.59</v>
      </c>
      <c r="F67">
        <v>28</v>
      </c>
      <c r="G67">
        <v>21</v>
      </c>
      <c r="H67">
        <v>136.09</v>
      </c>
      <c r="I67">
        <v>148.38</v>
      </c>
      <c r="J67">
        <v>47.85</v>
      </c>
      <c r="K67" t="b">
        <v>0</v>
      </c>
      <c r="L67">
        <v>-120.38</v>
      </c>
      <c r="M67">
        <v>0</v>
      </c>
      <c r="N67">
        <v>0</v>
      </c>
      <c r="O67">
        <v>2362.02</v>
      </c>
      <c r="P67">
        <v>0</v>
      </c>
      <c r="Q67">
        <v>1382.22</v>
      </c>
      <c r="R67">
        <v>0</v>
      </c>
      <c r="S67">
        <v>50.02</v>
      </c>
      <c r="T67">
        <v>47.4</v>
      </c>
      <c r="U67">
        <v>160.66999999999999</v>
      </c>
    </row>
    <row r="68" spans="1:21" x14ac:dyDescent="0.25">
      <c r="A68">
        <v>1067</v>
      </c>
      <c r="B68">
        <v>13.05</v>
      </c>
      <c r="C68">
        <v>333</v>
      </c>
      <c r="D68">
        <v>865583.46</v>
      </c>
      <c r="E68">
        <v>1.38</v>
      </c>
      <c r="F68">
        <v>16</v>
      </c>
      <c r="G68">
        <v>18</v>
      </c>
      <c r="H68">
        <v>91.34</v>
      </c>
      <c r="I68">
        <v>116.1</v>
      </c>
      <c r="J68">
        <v>11.63</v>
      </c>
      <c r="K68" t="b">
        <v>1</v>
      </c>
      <c r="L68">
        <v>-100.1</v>
      </c>
      <c r="M68">
        <v>6.37</v>
      </c>
      <c r="N68">
        <v>8.77</v>
      </c>
      <c r="O68">
        <v>2599.35</v>
      </c>
      <c r="P68">
        <v>22792.65</v>
      </c>
      <c r="Q68">
        <v>3576.79</v>
      </c>
      <c r="R68">
        <v>6.01</v>
      </c>
      <c r="S68">
        <v>56.04</v>
      </c>
      <c r="T68">
        <v>11497.5</v>
      </c>
      <c r="U68">
        <v>140.87</v>
      </c>
    </row>
    <row r="69" spans="1:21" x14ac:dyDescent="0.25">
      <c r="A69">
        <v>1068</v>
      </c>
      <c r="B69">
        <v>10.79</v>
      </c>
      <c r="C69">
        <v>130</v>
      </c>
      <c r="D69">
        <v>297759.95</v>
      </c>
      <c r="E69">
        <v>0.49</v>
      </c>
      <c r="F69">
        <v>24</v>
      </c>
      <c r="G69">
        <v>21</v>
      </c>
      <c r="H69">
        <v>81.61</v>
      </c>
      <c r="I69">
        <v>91.95</v>
      </c>
      <c r="J69">
        <v>48.74</v>
      </c>
      <c r="K69" t="b">
        <v>0</v>
      </c>
      <c r="L69">
        <v>-67.95</v>
      </c>
      <c r="M69">
        <v>0</v>
      </c>
      <c r="N69">
        <v>0</v>
      </c>
      <c r="O69">
        <v>2290.46</v>
      </c>
      <c r="P69">
        <v>0</v>
      </c>
      <c r="Q69">
        <v>1127.8800000000001</v>
      </c>
      <c r="R69">
        <v>0</v>
      </c>
      <c r="S69">
        <v>56.04</v>
      </c>
      <c r="T69">
        <v>39</v>
      </c>
      <c r="U69">
        <v>102.29</v>
      </c>
    </row>
    <row r="70" spans="1:21" x14ac:dyDescent="0.25">
      <c r="A70">
        <v>1069</v>
      </c>
      <c r="B70">
        <v>15.47</v>
      </c>
      <c r="C70">
        <v>336</v>
      </c>
      <c r="D70">
        <v>887930.11</v>
      </c>
      <c r="E70">
        <v>0.97</v>
      </c>
      <c r="F70">
        <v>23</v>
      </c>
      <c r="G70">
        <v>17</v>
      </c>
      <c r="H70">
        <v>105.23</v>
      </c>
      <c r="I70">
        <v>121.65</v>
      </c>
      <c r="J70">
        <v>23.82</v>
      </c>
      <c r="K70" t="b">
        <v>0</v>
      </c>
      <c r="L70">
        <v>-98.65</v>
      </c>
      <c r="M70">
        <v>0</v>
      </c>
      <c r="N70">
        <v>0</v>
      </c>
      <c r="O70">
        <v>2642.65</v>
      </c>
      <c r="P70">
        <v>0</v>
      </c>
      <c r="Q70">
        <v>2551.52</v>
      </c>
      <c r="R70">
        <v>0</v>
      </c>
      <c r="S70">
        <v>56.04</v>
      </c>
      <c r="T70">
        <v>100.8</v>
      </c>
      <c r="U70">
        <v>138.06</v>
      </c>
    </row>
    <row r="71" spans="1:21" x14ac:dyDescent="0.25">
      <c r="A71">
        <v>1070</v>
      </c>
      <c r="B71">
        <v>12.57</v>
      </c>
      <c r="C71">
        <v>131</v>
      </c>
      <c r="D71">
        <v>320792.28999999998</v>
      </c>
      <c r="E71">
        <v>0.38</v>
      </c>
      <c r="F71">
        <v>24</v>
      </c>
      <c r="G71">
        <v>20</v>
      </c>
      <c r="H71">
        <v>92.72</v>
      </c>
      <c r="I71">
        <v>100.25</v>
      </c>
      <c r="J71">
        <v>63.76</v>
      </c>
      <c r="K71" t="b">
        <v>0</v>
      </c>
      <c r="L71">
        <v>-76.25</v>
      </c>
      <c r="M71">
        <v>0</v>
      </c>
      <c r="N71">
        <v>0</v>
      </c>
      <c r="O71">
        <v>2448.8000000000002</v>
      </c>
      <c r="P71">
        <v>0</v>
      </c>
      <c r="Q71">
        <v>921.82</v>
      </c>
      <c r="R71">
        <v>0</v>
      </c>
      <c r="S71">
        <v>56.04</v>
      </c>
      <c r="T71">
        <v>39.299999999999997</v>
      </c>
      <c r="U71">
        <v>107.78</v>
      </c>
    </row>
    <row r="72" spans="1:21" x14ac:dyDescent="0.25">
      <c r="A72">
        <v>1071</v>
      </c>
      <c r="B72">
        <v>16.27</v>
      </c>
      <c r="C72">
        <v>162</v>
      </c>
      <c r="D72">
        <v>438640.46</v>
      </c>
      <c r="E72">
        <v>0.73</v>
      </c>
      <c r="F72">
        <v>19</v>
      </c>
      <c r="G72">
        <v>16</v>
      </c>
      <c r="H72">
        <v>107.4</v>
      </c>
      <c r="I72">
        <v>119.08</v>
      </c>
      <c r="J72">
        <v>26.04</v>
      </c>
      <c r="K72" t="b">
        <v>0</v>
      </c>
      <c r="L72">
        <v>-100.08</v>
      </c>
      <c r="M72">
        <v>0</v>
      </c>
      <c r="N72">
        <v>0</v>
      </c>
      <c r="O72">
        <v>2707.66</v>
      </c>
      <c r="P72">
        <v>0</v>
      </c>
      <c r="Q72">
        <v>1975.86</v>
      </c>
      <c r="R72">
        <v>0</v>
      </c>
      <c r="S72">
        <v>56.04</v>
      </c>
      <c r="T72">
        <v>48.6</v>
      </c>
      <c r="U72">
        <v>130.75</v>
      </c>
    </row>
    <row r="73" spans="1:21" x14ac:dyDescent="0.25">
      <c r="A73">
        <v>1072</v>
      </c>
      <c r="B73">
        <v>10.82</v>
      </c>
      <c r="C73">
        <v>211</v>
      </c>
      <c r="D73">
        <v>571419.65</v>
      </c>
      <c r="E73">
        <v>0.65</v>
      </c>
      <c r="F73">
        <v>16</v>
      </c>
      <c r="G73">
        <v>24</v>
      </c>
      <c r="H73">
        <v>87.48</v>
      </c>
      <c r="I73">
        <v>103.16</v>
      </c>
      <c r="J73">
        <v>24.49</v>
      </c>
      <c r="K73" t="b">
        <v>0</v>
      </c>
      <c r="L73">
        <v>-87.16</v>
      </c>
      <c r="M73">
        <v>0</v>
      </c>
      <c r="N73">
        <v>0</v>
      </c>
      <c r="O73">
        <v>2708.15</v>
      </c>
      <c r="P73">
        <v>0</v>
      </c>
      <c r="Q73">
        <v>1769.1</v>
      </c>
      <c r="R73">
        <v>0</v>
      </c>
      <c r="S73">
        <v>56.04</v>
      </c>
      <c r="T73">
        <v>63.3</v>
      </c>
      <c r="U73">
        <v>118.84</v>
      </c>
    </row>
    <row r="74" spans="1:21" x14ac:dyDescent="0.25">
      <c r="A74">
        <v>1073</v>
      </c>
      <c r="B74">
        <v>7.25</v>
      </c>
      <c r="C74">
        <v>278</v>
      </c>
      <c r="D74">
        <v>821721.08</v>
      </c>
      <c r="E74">
        <v>1.23</v>
      </c>
      <c r="F74">
        <v>18</v>
      </c>
      <c r="G74">
        <v>23</v>
      </c>
      <c r="H74">
        <v>57.38</v>
      </c>
      <c r="I74">
        <v>85.67</v>
      </c>
      <c r="J74">
        <v>14.63</v>
      </c>
      <c r="K74" t="b">
        <v>1</v>
      </c>
      <c r="L74">
        <v>-67.67</v>
      </c>
      <c r="M74">
        <v>8.3699999999999992</v>
      </c>
      <c r="N74">
        <v>10.29</v>
      </c>
      <c r="O74">
        <v>2955.83</v>
      </c>
      <c r="P74">
        <v>30421.52</v>
      </c>
      <c r="Q74">
        <v>3635.93</v>
      </c>
      <c r="R74">
        <v>8.0299999999999994</v>
      </c>
      <c r="S74">
        <v>64.06</v>
      </c>
      <c r="T74">
        <v>15295.83</v>
      </c>
      <c r="U74">
        <v>113.96</v>
      </c>
    </row>
    <row r="75" spans="1:21" x14ac:dyDescent="0.25">
      <c r="A75">
        <v>1074</v>
      </c>
      <c r="B75">
        <v>16.09</v>
      </c>
      <c r="C75">
        <v>231</v>
      </c>
      <c r="D75">
        <v>429878.21</v>
      </c>
      <c r="E75">
        <v>0.67</v>
      </c>
      <c r="F75">
        <v>26</v>
      </c>
      <c r="G75">
        <v>19</v>
      </c>
      <c r="H75">
        <v>115.7</v>
      </c>
      <c r="I75">
        <v>128.34</v>
      </c>
      <c r="J75">
        <v>39.06</v>
      </c>
      <c r="K75" t="b">
        <v>0</v>
      </c>
      <c r="L75">
        <v>-102.34</v>
      </c>
      <c r="M75">
        <v>0</v>
      </c>
      <c r="N75">
        <v>0</v>
      </c>
      <c r="O75">
        <v>1860.94</v>
      </c>
      <c r="P75">
        <v>0</v>
      </c>
      <c r="Q75">
        <v>1238.8399999999999</v>
      </c>
      <c r="R75">
        <v>0</v>
      </c>
      <c r="S75">
        <v>64.06</v>
      </c>
      <c r="T75">
        <v>69.3</v>
      </c>
      <c r="U75">
        <v>140.99</v>
      </c>
    </row>
    <row r="76" spans="1:21" x14ac:dyDescent="0.25">
      <c r="A76">
        <v>1075</v>
      </c>
      <c r="B76">
        <v>9.89</v>
      </c>
      <c r="C76">
        <v>355</v>
      </c>
      <c r="D76">
        <v>1069940.3899999999</v>
      </c>
      <c r="E76">
        <v>1.1499999999999999</v>
      </c>
      <c r="F76">
        <v>29</v>
      </c>
      <c r="G76">
        <v>20</v>
      </c>
      <c r="H76">
        <v>73.010000000000005</v>
      </c>
      <c r="I76">
        <v>96.06</v>
      </c>
      <c r="J76">
        <v>25.16</v>
      </c>
      <c r="K76" t="b">
        <v>0</v>
      </c>
      <c r="L76">
        <v>-67.06</v>
      </c>
      <c r="M76">
        <v>0</v>
      </c>
      <c r="N76">
        <v>0</v>
      </c>
      <c r="O76">
        <v>3013.92</v>
      </c>
      <c r="P76">
        <v>0</v>
      </c>
      <c r="Q76">
        <v>3473.83</v>
      </c>
      <c r="R76">
        <v>0</v>
      </c>
      <c r="S76">
        <v>64.06</v>
      </c>
      <c r="T76">
        <v>106.5</v>
      </c>
      <c r="U76">
        <v>119.12</v>
      </c>
    </row>
    <row r="77" spans="1:21" x14ac:dyDescent="0.25">
      <c r="A77">
        <v>1076</v>
      </c>
      <c r="B77">
        <v>6.29</v>
      </c>
      <c r="C77">
        <v>199</v>
      </c>
      <c r="D77">
        <v>551876.84</v>
      </c>
      <c r="E77">
        <v>0.6</v>
      </c>
      <c r="F77">
        <v>26</v>
      </c>
      <c r="G77">
        <v>18</v>
      </c>
      <c r="H77">
        <v>44.03</v>
      </c>
      <c r="I77">
        <v>54.75</v>
      </c>
      <c r="J77">
        <v>43.64</v>
      </c>
      <c r="K77" t="b">
        <v>0</v>
      </c>
      <c r="L77">
        <v>-28.75</v>
      </c>
      <c r="M77">
        <v>0</v>
      </c>
      <c r="N77">
        <v>0</v>
      </c>
      <c r="O77">
        <v>2773.25</v>
      </c>
      <c r="P77">
        <v>0</v>
      </c>
      <c r="Q77">
        <v>1652.33</v>
      </c>
      <c r="R77">
        <v>0</v>
      </c>
      <c r="S77">
        <v>64.06</v>
      </c>
      <c r="T77">
        <v>59.7</v>
      </c>
      <c r="U77">
        <v>65.48</v>
      </c>
    </row>
    <row r="78" spans="1:21" x14ac:dyDescent="0.25">
      <c r="A78">
        <v>1077</v>
      </c>
      <c r="B78">
        <v>12.84</v>
      </c>
      <c r="C78">
        <v>167</v>
      </c>
      <c r="D78">
        <v>373632.36</v>
      </c>
      <c r="E78">
        <v>0.51</v>
      </c>
      <c r="F78">
        <v>21</v>
      </c>
      <c r="G78">
        <v>24</v>
      </c>
      <c r="H78">
        <v>103.77</v>
      </c>
      <c r="I78">
        <v>116.07</v>
      </c>
      <c r="J78">
        <v>40.99</v>
      </c>
      <c r="K78" t="b">
        <v>0</v>
      </c>
      <c r="L78">
        <v>-95.07</v>
      </c>
      <c r="M78">
        <v>0</v>
      </c>
      <c r="N78">
        <v>0</v>
      </c>
      <c r="O78">
        <v>2237.3200000000002</v>
      </c>
      <c r="P78">
        <v>0</v>
      </c>
      <c r="Q78">
        <v>1146.1099999999999</v>
      </c>
      <c r="R78">
        <v>0</v>
      </c>
      <c r="S78">
        <v>64.06</v>
      </c>
      <c r="T78">
        <v>50.1</v>
      </c>
      <c r="U78">
        <v>128.36000000000001</v>
      </c>
    </row>
    <row r="79" spans="1:21" x14ac:dyDescent="0.25">
      <c r="A79">
        <v>1078</v>
      </c>
      <c r="B79">
        <v>17.38</v>
      </c>
      <c r="C79">
        <v>249</v>
      </c>
      <c r="D79">
        <v>663087.34</v>
      </c>
      <c r="E79">
        <v>0.7</v>
      </c>
      <c r="F79">
        <v>26</v>
      </c>
      <c r="G79">
        <v>21</v>
      </c>
      <c r="H79">
        <v>131.43</v>
      </c>
      <c r="I79">
        <v>146.16</v>
      </c>
      <c r="J79">
        <v>37.07</v>
      </c>
      <c r="K79" t="b">
        <v>0</v>
      </c>
      <c r="L79">
        <v>-120.16</v>
      </c>
      <c r="M79">
        <v>0</v>
      </c>
      <c r="N79">
        <v>0</v>
      </c>
      <c r="O79">
        <v>2663</v>
      </c>
      <c r="P79">
        <v>0</v>
      </c>
      <c r="Q79">
        <v>1867.85</v>
      </c>
      <c r="R79">
        <v>0</v>
      </c>
      <c r="S79">
        <v>64.06</v>
      </c>
      <c r="T79">
        <v>74.7</v>
      </c>
      <c r="U79">
        <v>160.88999999999999</v>
      </c>
    </row>
    <row r="80" spans="1:21" x14ac:dyDescent="0.25">
      <c r="A80">
        <v>1079</v>
      </c>
      <c r="B80">
        <v>17.13</v>
      </c>
      <c r="C80">
        <v>186</v>
      </c>
      <c r="D80">
        <v>310704.73</v>
      </c>
      <c r="E80">
        <v>1.28</v>
      </c>
      <c r="F80">
        <v>27</v>
      </c>
      <c r="G80">
        <v>23</v>
      </c>
      <c r="H80">
        <v>135.59</v>
      </c>
      <c r="I80">
        <v>165.09</v>
      </c>
      <c r="J80">
        <v>21.05</v>
      </c>
      <c r="K80" t="b">
        <v>1</v>
      </c>
      <c r="L80">
        <v>-138.09</v>
      </c>
      <c r="M80">
        <v>1.95</v>
      </c>
      <c r="N80">
        <v>2.5</v>
      </c>
      <c r="O80">
        <v>1670.46</v>
      </c>
      <c r="P80">
        <v>4181.8999999999996</v>
      </c>
      <c r="Q80">
        <v>2142.79</v>
      </c>
      <c r="R80">
        <v>1.1000000000000001</v>
      </c>
      <c r="S80">
        <v>65.17</v>
      </c>
      <c r="T80">
        <v>2147.14</v>
      </c>
      <c r="U80">
        <v>194.6</v>
      </c>
    </row>
    <row r="81" spans="1:21" x14ac:dyDescent="0.25">
      <c r="A81">
        <v>1080</v>
      </c>
      <c r="B81">
        <v>15.08</v>
      </c>
      <c r="C81">
        <v>210</v>
      </c>
      <c r="D81">
        <v>609421.34</v>
      </c>
      <c r="E81">
        <v>0.7</v>
      </c>
      <c r="F81">
        <v>22</v>
      </c>
      <c r="G81">
        <v>21</v>
      </c>
      <c r="H81">
        <v>114.01</v>
      </c>
      <c r="I81">
        <v>128.76</v>
      </c>
      <c r="J81">
        <v>31.32</v>
      </c>
      <c r="K81" t="b">
        <v>0</v>
      </c>
      <c r="L81">
        <v>-106.76</v>
      </c>
      <c r="M81">
        <v>0</v>
      </c>
      <c r="N81">
        <v>0</v>
      </c>
      <c r="O81">
        <v>2902.01</v>
      </c>
      <c r="P81">
        <v>0</v>
      </c>
      <c r="Q81">
        <v>2038.2</v>
      </c>
      <c r="R81">
        <v>0</v>
      </c>
      <c r="S81">
        <v>65.17</v>
      </c>
      <c r="T81">
        <v>63</v>
      </c>
      <c r="U81">
        <v>143.51</v>
      </c>
    </row>
    <row r="82" spans="1:21" x14ac:dyDescent="0.25">
      <c r="A82">
        <v>1081</v>
      </c>
      <c r="B82">
        <v>12.44</v>
      </c>
      <c r="C82">
        <v>210</v>
      </c>
      <c r="D82">
        <v>402367.01</v>
      </c>
      <c r="E82">
        <v>0.71</v>
      </c>
      <c r="F82">
        <v>29</v>
      </c>
      <c r="G82">
        <v>15</v>
      </c>
      <c r="H82">
        <v>79.47</v>
      </c>
      <c r="I82">
        <v>90.08</v>
      </c>
      <c r="J82">
        <v>41.01</v>
      </c>
      <c r="K82" t="b">
        <v>0</v>
      </c>
      <c r="L82">
        <v>-61.08</v>
      </c>
      <c r="M82">
        <v>0</v>
      </c>
      <c r="N82">
        <v>0</v>
      </c>
      <c r="O82">
        <v>1916.03</v>
      </c>
      <c r="P82">
        <v>0</v>
      </c>
      <c r="Q82">
        <v>1354.77</v>
      </c>
      <c r="R82">
        <v>0</v>
      </c>
      <c r="S82">
        <v>65.17</v>
      </c>
      <c r="T82">
        <v>63</v>
      </c>
      <c r="U82">
        <v>100.69</v>
      </c>
    </row>
    <row r="83" spans="1:21" x14ac:dyDescent="0.25">
      <c r="A83">
        <v>1082</v>
      </c>
      <c r="B83">
        <v>18.47</v>
      </c>
      <c r="C83">
        <v>212</v>
      </c>
      <c r="D83">
        <v>468069.81</v>
      </c>
      <c r="E83">
        <v>1.1200000000000001</v>
      </c>
      <c r="F83">
        <v>17</v>
      </c>
      <c r="G83">
        <v>15</v>
      </c>
      <c r="H83">
        <v>118.05</v>
      </c>
      <c r="I83">
        <v>134.87</v>
      </c>
      <c r="J83">
        <v>15.16</v>
      </c>
      <c r="K83" t="b">
        <v>0</v>
      </c>
      <c r="L83">
        <v>-117.87</v>
      </c>
      <c r="M83">
        <v>0</v>
      </c>
      <c r="N83">
        <v>0</v>
      </c>
      <c r="O83">
        <v>2207.88</v>
      </c>
      <c r="P83">
        <v>0</v>
      </c>
      <c r="Q83">
        <v>2476.56</v>
      </c>
      <c r="R83">
        <v>0</v>
      </c>
      <c r="S83">
        <v>65.17</v>
      </c>
      <c r="T83">
        <v>63.6</v>
      </c>
      <c r="U83">
        <v>151.69999999999999</v>
      </c>
    </row>
    <row r="84" spans="1:21" x14ac:dyDescent="0.25">
      <c r="A84">
        <v>1083</v>
      </c>
      <c r="B84">
        <v>9.2200000000000006</v>
      </c>
      <c r="C84">
        <v>125</v>
      </c>
      <c r="D84">
        <v>319611.77</v>
      </c>
      <c r="E84">
        <v>0.62</v>
      </c>
      <c r="F84">
        <v>28</v>
      </c>
      <c r="G84">
        <v>23</v>
      </c>
      <c r="H84">
        <v>72.92</v>
      </c>
      <c r="I84">
        <v>87.15</v>
      </c>
      <c r="J84">
        <v>45.25</v>
      </c>
      <c r="K84" t="b">
        <v>0</v>
      </c>
      <c r="L84">
        <v>-59.15</v>
      </c>
      <c r="M84">
        <v>0</v>
      </c>
      <c r="N84">
        <v>0</v>
      </c>
      <c r="O84">
        <v>2556.89</v>
      </c>
      <c r="P84">
        <v>0</v>
      </c>
      <c r="Q84">
        <v>1582.24</v>
      </c>
      <c r="R84">
        <v>0</v>
      </c>
      <c r="S84">
        <v>65.17</v>
      </c>
      <c r="T84">
        <v>37.5</v>
      </c>
      <c r="U84">
        <v>101.38</v>
      </c>
    </row>
    <row r="85" spans="1:21" x14ac:dyDescent="0.25">
      <c r="A85">
        <v>1084</v>
      </c>
      <c r="B85">
        <v>11.36</v>
      </c>
      <c r="C85">
        <v>247</v>
      </c>
      <c r="D85">
        <v>590601.71</v>
      </c>
      <c r="E85">
        <v>0.79</v>
      </c>
      <c r="F85">
        <v>15</v>
      </c>
      <c r="G85">
        <v>23</v>
      </c>
      <c r="H85">
        <v>89.87</v>
      </c>
      <c r="I85">
        <v>107.96</v>
      </c>
      <c r="J85">
        <v>19.07</v>
      </c>
      <c r="K85" t="b">
        <v>1</v>
      </c>
      <c r="L85">
        <v>-92.96</v>
      </c>
      <c r="M85">
        <v>3.93</v>
      </c>
      <c r="N85">
        <v>3.09</v>
      </c>
      <c r="O85">
        <v>2391.1</v>
      </c>
      <c r="P85">
        <v>7394.13</v>
      </c>
      <c r="Q85">
        <v>1880.9</v>
      </c>
      <c r="R85">
        <v>1.95</v>
      </c>
      <c r="S85">
        <v>67.12</v>
      </c>
      <c r="T85">
        <v>3771.95</v>
      </c>
      <c r="U85">
        <v>126.05</v>
      </c>
    </row>
    <row r="86" spans="1:21" x14ac:dyDescent="0.25">
      <c r="A86">
        <v>1085</v>
      </c>
      <c r="B86">
        <v>14.19</v>
      </c>
      <c r="C86">
        <v>270</v>
      </c>
      <c r="D86">
        <v>901017.41</v>
      </c>
      <c r="E86">
        <v>0.81</v>
      </c>
      <c r="F86">
        <v>18</v>
      </c>
      <c r="G86">
        <v>18</v>
      </c>
      <c r="H86">
        <v>99.34</v>
      </c>
      <c r="I86">
        <v>113.89</v>
      </c>
      <c r="J86">
        <v>22.27</v>
      </c>
      <c r="K86" t="b">
        <v>0</v>
      </c>
      <c r="L86">
        <v>-95.89</v>
      </c>
      <c r="M86">
        <v>0</v>
      </c>
      <c r="N86">
        <v>0</v>
      </c>
      <c r="O86">
        <v>3337.1</v>
      </c>
      <c r="P86">
        <v>0</v>
      </c>
      <c r="Q86">
        <v>2697.66</v>
      </c>
      <c r="R86">
        <v>0</v>
      </c>
      <c r="S86">
        <v>67.12</v>
      </c>
      <c r="T86">
        <v>81</v>
      </c>
      <c r="U86">
        <v>128.44</v>
      </c>
    </row>
    <row r="87" spans="1:21" x14ac:dyDescent="0.25">
      <c r="A87">
        <v>1086</v>
      </c>
      <c r="B87">
        <v>15.61</v>
      </c>
      <c r="C87">
        <v>357</v>
      </c>
      <c r="D87">
        <v>863397.26</v>
      </c>
      <c r="E87">
        <v>0.99</v>
      </c>
      <c r="F87">
        <v>16</v>
      </c>
      <c r="G87">
        <v>23</v>
      </c>
      <c r="H87">
        <v>123.51</v>
      </c>
      <c r="I87">
        <v>146.19</v>
      </c>
      <c r="J87">
        <v>16.22</v>
      </c>
      <c r="K87" t="b">
        <v>1</v>
      </c>
      <c r="L87">
        <v>-130.19</v>
      </c>
      <c r="M87">
        <v>6.78</v>
      </c>
      <c r="N87">
        <v>6.68</v>
      </c>
      <c r="O87">
        <v>2418.48</v>
      </c>
      <c r="P87">
        <v>16161.06</v>
      </c>
      <c r="Q87">
        <v>2385.08</v>
      </c>
      <c r="R87">
        <v>4.26</v>
      </c>
      <c r="S87">
        <v>71.38</v>
      </c>
      <c r="T87">
        <v>8188.98</v>
      </c>
      <c r="U87">
        <v>168.87</v>
      </c>
    </row>
    <row r="88" spans="1:21" x14ac:dyDescent="0.25">
      <c r="A88">
        <v>1087</v>
      </c>
      <c r="B88">
        <v>11.47</v>
      </c>
      <c r="C88">
        <v>260</v>
      </c>
      <c r="D88">
        <v>613710.67000000004</v>
      </c>
      <c r="E88">
        <v>0.85</v>
      </c>
      <c r="F88">
        <v>22</v>
      </c>
      <c r="G88">
        <v>17</v>
      </c>
      <c r="H88">
        <v>78.03</v>
      </c>
      <c r="I88">
        <v>92.43</v>
      </c>
      <c r="J88">
        <v>25.98</v>
      </c>
      <c r="K88" t="b">
        <v>0</v>
      </c>
      <c r="L88">
        <v>-70.430000000000007</v>
      </c>
      <c r="M88">
        <v>0</v>
      </c>
      <c r="N88">
        <v>0</v>
      </c>
      <c r="O88">
        <v>2360.4299999999998</v>
      </c>
      <c r="P88">
        <v>0</v>
      </c>
      <c r="Q88">
        <v>1999.06</v>
      </c>
      <c r="R88">
        <v>0</v>
      </c>
      <c r="S88">
        <v>71.38</v>
      </c>
      <c r="T88">
        <v>78</v>
      </c>
      <c r="U88">
        <v>106.83</v>
      </c>
    </row>
    <row r="89" spans="1:21" x14ac:dyDescent="0.25">
      <c r="A89">
        <v>1088</v>
      </c>
      <c r="B89">
        <v>11.7</v>
      </c>
      <c r="C89">
        <v>150</v>
      </c>
      <c r="D89">
        <v>538156.5</v>
      </c>
      <c r="E89">
        <v>0.44</v>
      </c>
      <c r="F89">
        <v>18</v>
      </c>
      <c r="G89">
        <v>21</v>
      </c>
      <c r="H89">
        <v>88.5</v>
      </c>
      <c r="I89">
        <v>97.69</v>
      </c>
      <c r="J89">
        <v>41.16</v>
      </c>
      <c r="K89" t="b">
        <v>0</v>
      </c>
      <c r="L89">
        <v>-79.69</v>
      </c>
      <c r="M89">
        <v>0</v>
      </c>
      <c r="N89">
        <v>0</v>
      </c>
      <c r="O89">
        <v>3587.71</v>
      </c>
      <c r="P89">
        <v>0</v>
      </c>
      <c r="Q89">
        <v>1568.97</v>
      </c>
      <c r="R89">
        <v>0</v>
      </c>
      <c r="S89">
        <v>71.38</v>
      </c>
      <c r="T89">
        <v>45</v>
      </c>
      <c r="U89">
        <v>106.87</v>
      </c>
    </row>
    <row r="90" spans="1:21" x14ac:dyDescent="0.25">
      <c r="A90">
        <v>1089</v>
      </c>
      <c r="B90">
        <v>15.21</v>
      </c>
      <c r="C90">
        <v>390</v>
      </c>
      <c r="D90">
        <v>1445192.74</v>
      </c>
      <c r="E90">
        <v>1.0900000000000001</v>
      </c>
      <c r="F90">
        <v>16</v>
      </c>
      <c r="G90">
        <v>20</v>
      </c>
      <c r="H90">
        <v>112.24</v>
      </c>
      <c r="I90">
        <v>133.97</v>
      </c>
      <c r="J90">
        <v>14.73</v>
      </c>
      <c r="K90" t="b">
        <v>1</v>
      </c>
      <c r="L90">
        <v>-117.97</v>
      </c>
      <c r="M90">
        <v>5.27</v>
      </c>
      <c r="N90">
        <v>5.73</v>
      </c>
      <c r="O90">
        <v>3705.62</v>
      </c>
      <c r="P90">
        <v>21222.17</v>
      </c>
      <c r="Q90">
        <v>4025.61</v>
      </c>
      <c r="R90">
        <v>5.6</v>
      </c>
      <c r="S90">
        <v>76.98</v>
      </c>
      <c r="T90">
        <v>10729.14</v>
      </c>
      <c r="U90">
        <v>155.69</v>
      </c>
    </row>
    <row r="91" spans="1:21" x14ac:dyDescent="0.25">
      <c r="A91">
        <v>1090</v>
      </c>
      <c r="B91">
        <v>15.49</v>
      </c>
      <c r="C91">
        <v>590</v>
      </c>
      <c r="D91">
        <v>1819857.91</v>
      </c>
      <c r="E91">
        <v>1.63</v>
      </c>
      <c r="F91">
        <v>28</v>
      </c>
      <c r="G91">
        <v>22</v>
      </c>
      <c r="H91">
        <v>119.88</v>
      </c>
      <c r="I91">
        <v>155.74</v>
      </c>
      <c r="J91">
        <v>17.18</v>
      </c>
      <c r="K91" t="b">
        <v>1</v>
      </c>
      <c r="L91">
        <v>-127.74</v>
      </c>
      <c r="M91">
        <v>4.82</v>
      </c>
      <c r="N91">
        <v>7.86</v>
      </c>
      <c r="O91">
        <v>3084.5</v>
      </c>
      <c r="P91">
        <v>24232.959999999999</v>
      </c>
      <c r="Q91">
        <v>5027.2299999999996</v>
      </c>
      <c r="R91">
        <v>6.39</v>
      </c>
      <c r="S91">
        <v>83.38</v>
      </c>
      <c r="T91">
        <v>12294.44</v>
      </c>
      <c r="U91">
        <v>191.59</v>
      </c>
    </row>
    <row r="92" spans="1:21" x14ac:dyDescent="0.25">
      <c r="A92">
        <v>1091</v>
      </c>
      <c r="B92">
        <v>11.84</v>
      </c>
      <c r="C92">
        <v>158</v>
      </c>
      <c r="D92">
        <v>482502.68</v>
      </c>
      <c r="E92">
        <v>0.79</v>
      </c>
      <c r="F92">
        <v>20</v>
      </c>
      <c r="G92">
        <v>23</v>
      </c>
      <c r="H92">
        <v>93.73</v>
      </c>
      <c r="I92">
        <v>111.99</v>
      </c>
      <c r="J92">
        <v>25.19</v>
      </c>
      <c r="K92" t="b">
        <v>0</v>
      </c>
      <c r="L92">
        <v>-91.99</v>
      </c>
      <c r="M92">
        <v>0</v>
      </c>
      <c r="N92">
        <v>0</v>
      </c>
      <c r="O92">
        <v>3053.81</v>
      </c>
      <c r="P92">
        <v>0</v>
      </c>
      <c r="Q92">
        <v>2424.64</v>
      </c>
      <c r="R92">
        <v>0</v>
      </c>
      <c r="S92">
        <v>83.38</v>
      </c>
      <c r="T92">
        <v>47.4</v>
      </c>
      <c r="U92">
        <v>130.25</v>
      </c>
    </row>
    <row r="93" spans="1:21" x14ac:dyDescent="0.25">
      <c r="A93">
        <v>1092</v>
      </c>
      <c r="B93">
        <v>14.07</v>
      </c>
      <c r="C93">
        <v>548</v>
      </c>
      <c r="D93">
        <v>1738987.88</v>
      </c>
      <c r="E93">
        <v>1.67</v>
      </c>
      <c r="F93">
        <v>20</v>
      </c>
      <c r="G93">
        <v>19</v>
      </c>
      <c r="H93">
        <v>101.21</v>
      </c>
      <c r="I93">
        <v>132.94999999999999</v>
      </c>
      <c r="J93">
        <v>11.97</v>
      </c>
      <c r="K93" t="b">
        <v>1</v>
      </c>
      <c r="L93">
        <v>-112.95</v>
      </c>
      <c r="M93">
        <v>7.03</v>
      </c>
      <c r="N93">
        <v>11.74</v>
      </c>
      <c r="O93">
        <v>3173.34</v>
      </c>
      <c r="P93">
        <v>37267.339999999997</v>
      </c>
      <c r="Q93">
        <v>5301.79</v>
      </c>
      <c r="R93">
        <v>9.83</v>
      </c>
      <c r="S93">
        <v>93.21</v>
      </c>
      <c r="T93">
        <v>18799.48</v>
      </c>
      <c r="U93">
        <v>164.7</v>
      </c>
    </row>
    <row r="94" spans="1:21" x14ac:dyDescent="0.25">
      <c r="A94">
        <v>1093</v>
      </c>
      <c r="B94">
        <v>13.06</v>
      </c>
      <c r="C94">
        <v>304</v>
      </c>
      <c r="D94">
        <v>614948.63</v>
      </c>
      <c r="E94">
        <v>1.41</v>
      </c>
      <c r="F94">
        <v>24</v>
      </c>
      <c r="G94">
        <v>15</v>
      </c>
      <c r="H94">
        <v>83.48</v>
      </c>
      <c r="I94">
        <v>104.59</v>
      </c>
      <c r="J94">
        <v>17.05</v>
      </c>
      <c r="K94" t="b">
        <v>0</v>
      </c>
      <c r="L94">
        <v>-80.59</v>
      </c>
      <c r="M94">
        <v>0</v>
      </c>
      <c r="N94">
        <v>0</v>
      </c>
      <c r="O94">
        <v>2022.86</v>
      </c>
      <c r="P94">
        <v>0</v>
      </c>
      <c r="Q94">
        <v>2846.98</v>
      </c>
      <c r="R94">
        <v>0</v>
      </c>
      <c r="S94">
        <v>93.21</v>
      </c>
      <c r="T94">
        <v>91.2</v>
      </c>
      <c r="U94">
        <v>125.7</v>
      </c>
    </row>
    <row r="95" spans="1:21" x14ac:dyDescent="0.25">
      <c r="A95">
        <v>1094</v>
      </c>
      <c r="B95">
        <v>17.079999999999998</v>
      </c>
      <c r="C95">
        <v>238</v>
      </c>
      <c r="D95">
        <v>712311.23</v>
      </c>
      <c r="E95">
        <v>0.67</v>
      </c>
      <c r="F95">
        <v>18</v>
      </c>
      <c r="G95">
        <v>17</v>
      </c>
      <c r="H95">
        <v>116.18</v>
      </c>
      <c r="I95">
        <v>127.55</v>
      </c>
      <c r="J95">
        <v>26.92</v>
      </c>
      <c r="K95" t="b">
        <v>0</v>
      </c>
      <c r="L95">
        <v>-109.55</v>
      </c>
      <c r="M95">
        <v>0</v>
      </c>
      <c r="N95">
        <v>0</v>
      </c>
      <c r="O95">
        <v>2992.9</v>
      </c>
      <c r="P95">
        <v>0</v>
      </c>
      <c r="Q95">
        <v>2000.87</v>
      </c>
      <c r="R95">
        <v>0</v>
      </c>
      <c r="S95">
        <v>93.21</v>
      </c>
      <c r="T95">
        <v>71.400000000000006</v>
      </c>
      <c r="U95">
        <v>138.91</v>
      </c>
    </row>
    <row r="96" spans="1:21" x14ac:dyDescent="0.25">
      <c r="A96">
        <v>1095</v>
      </c>
      <c r="B96">
        <v>13.44</v>
      </c>
      <c r="C96">
        <v>199</v>
      </c>
      <c r="D96">
        <v>450546.95</v>
      </c>
      <c r="E96">
        <v>0.71</v>
      </c>
      <c r="F96">
        <v>20</v>
      </c>
      <c r="G96">
        <v>24</v>
      </c>
      <c r="H96">
        <v>108.61</v>
      </c>
      <c r="I96">
        <v>125.61</v>
      </c>
      <c r="J96">
        <v>28.24</v>
      </c>
      <c r="K96" t="b">
        <v>0</v>
      </c>
      <c r="L96">
        <v>-105.61</v>
      </c>
      <c r="M96">
        <v>0</v>
      </c>
      <c r="N96">
        <v>0</v>
      </c>
      <c r="O96">
        <v>2264.06</v>
      </c>
      <c r="P96">
        <v>0</v>
      </c>
      <c r="Q96">
        <v>1603.37</v>
      </c>
      <c r="R96">
        <v>0</v>
      </c>
      <c r="S96">
        <v>93.21</v>
      </c>
      <c r="T96">
        <v>59.7</v>
      </c>
      <c r="U96">
        <v>142.61000000000001</v>
      </c>
    </row>
    <row r="97" spans="1:21" x14ac:dyDescent="0.25">
      <c r="A97">
        <v>1096</v>
      </c>
      <c r="B97">
        <v>12.89</v>
      </c>
      <c r="C97">
        <v>341</v>
      </c>
      <c r="D97">
        <v>865465.68</v>
      </c>
      <c r="E97">
        <v>1.1000000000000001</v>
      </c>
      <c r="F97">
        <v>27</v>
      </c>
      <c r="G97">
        <v>22</v>
      </c>
      <c r="H97">
        <v>99.72</v>
      </c>
      <c r="I97">
        <v>123.84</v>
      </c>
      <c r="J97">
        <v>24.62</v>
      </c>
      <c r="K97" t="b">
        <v>0</v>
      </c>
      <c r="L97">
        <v>-96.84</v>
      </c>
      <c r="M97">
        <v>0</v>
      </c>
      <c r="N97">
        <v>0</v>
      </c>
      <c r="O97">
        <v>2538.02</v>
      </c>
      <c r="P97">
        <v>0</v>
      </c>
      <c r="Q97">
        <v>2782.85</v>
      </c>
      <c r="R97">
        <v>0</v>
      </c>
      <c r="S97">
        <v>93.21</v>
      </c>
      <c r="T97">
        <v>102.3</v>
      </c>
      <c r="U97">
        <v>147.96</v>
      </c>
    </row>
    <row r="98" spans="1:21" x14ac:dyDescent="0.25">
      <c r="A98">
        <v>1097</v>
      </c>
      <c r="B98">
        <v>16.73</v>
      </c>
      <c r="C98">
        <v>215</v>
      </c>
      <c r="D98">
        <v>738643.22</v>
      </c>
      <c r="E98">
        <v>0.79</v>
      </c>
      <c r="F98">
        <v>29</v>
      </c>
      <c r="G98">
        <v>20</v>
      </c>
      <c r="H98">
        <v>123.44</v>
      </c>
      <c r="I98">
        <v>139.25</v>
      </c>
      <c r="J98">
        <v>36.69</v>
      </c>
      <c r="K98" t="b">
        <v>0</v>
      </c>
      <c r="L98">
        <v>-110.25</v>
      </c>
      <c r="M98">
        <v>0</v>
      </c>
      <c r="N98">
        <v>0</v>
      </c>
      <c r="O98">
        <v>3435.55</v>
      </c>
      <c r="P98">
        <v>0</v>
      </c>
      <c r="Q98">
        <v>2715.6</v>
      </c>
      <c r="R98">
        <v>0</v>
      </c>
      <c r="S98">
        <v>93.21</v>
      </c>
      <c r="T98">
        <v>64.5</v>
      </c>
      <c r="U98">
        <v>155.06</v>
      </c>
    </row>
    <row r="99" spans="1:21" x14ac:dyDescent="0.25">
      <c r="A99">
        <v>1098</v>
      </c>
      <c r="B99">
        <v>9.5399999999999991</v>
      </c>
      <c r="C99">
        <v>126</v>
      </c>
      <c r="D99">
        <v>320386.09000000003</v>
      </c>
      <c r="E99">
        <v>0.43</v>
      </c>
      <c r="F99">
        <v>16</v>
      </c>
      <c r="G99">
        <v>22</v>
      </c>
      <c r="H99">
        <v>73.83</v>
      </c>
      <c r="I99">
        <v>83.32</v>
      </c>
      <c r="J99">
        <v>37.08</v>
      </c>
      <c r="K99" t="b">
        <v>0</v>
      </c>
      <c r="L99">
        <v>-67.319999999999993</v>
      </c>
      <c r="M99">
        <v>0</v>
      </c>
      <c r="N99">
        <v>0</v>
      </c>
      <c r="O99">
        <v>2542.75</v>
      </c>
      <c r="P99">
        <v>0</v>
      </c>
      <c r="Q99">
        <v>1097.21</v>
      </c>
      <c r="R99">
        <v>0</v>
      </c>
      <c r="S99">
        <v>93.21</v>
      </c>
      <c r="T99">
        <v>37.799999999999997</v>
      </c>
      <c r="U99">
        <v>92.81</v>
      </c>
    </row>
    <row r="100" spans="1:21" x14ac:dyDescent="0.25">
      <c r="A100">
        <v>1099</v>
      </c>
      <c r="B100">
        <v>12.07</v>
      </c>
      <c r="C100">
        <v>502</v>
      </c>
      <c r="D100">
        <v>1635859.89</v>
      </c>
      <c r="E100">
        <v>1.39</v>
      </c>
      <c r="F100">
        <v>24</v>
      </c>
      <c r="G100">
        <v>23</v>
      </c>
      <c r="H100">
        <v>95.53</v>
      </c>
      <c r="I100">
        <v>127.43</v>
      </c>
      <c r="J100">
        <v>17.309999999999999</v>
      </c>
      <c r="K100" t="b">
        <v>1</v>
      </c>
      <c r="L100">
        <v>-103.43</v>
      </c>
      <c r="M100">
        <v>5.69</v>
      </c>
      <c r="N100">
        <v>7.9</v>
      </c>
      <c r="O100">
        <v>3258.69</v>
      </c>
      <c r="P100">
        <v>25727.41</v>
      </c>
      <c r="Q100">
        <v>4518.95</v>
      </c>
      <c r="R100">
        <v>6.79</v>
      </c>
      <c r="S100">
        <v>100</v>
      </c>
      <c r="T100">
        <v>13015.44</v>
      </c>
      <c r="U100">
        <v>159.32</v>
      </c>
    </row>
    <row r="101" spans="1:21" x14ac:dyDescent="0.25">
      <c r="A101">
        <v>1100</v>
      </c>
      <c r="B101">
        <v>14.54</v>
      </c>
      <c r="C101">
        <v>239</v>
      </c>
      <c r="D101">
        <v>653313.62</v>
      </c>
      <c r="E101">
        <v>0.79</v>
      </c>
      <c r="F101">
        <v>26</v>
      </c>
      <c r="G101">
        <v>18</v>
      </c>
      <c r="H101">
        <v>101.81</v>
      </c>
      <c r="I101">
        <v>116.11</v>
      </c>
      <c r="J101">
        <v>32.74</v>
      </c>
      <c r="K101" t="b">
        <v>0</v>
      </c>
      <c r="L101">
        <v>-90.11</v>
      </c>
      <c r="M101">
        <v>0</v>
      </c>
      <c r="N101">
        <v>0</v>
      </c>
      <c r="O101">
        <v>2733.53</v>
      </c>
      <c r="P101">
        <v>0</v>
      </c>
      <c r="Q101">
        <v>2170.48</v>
      </c>
      <c r="R101">
        <v>0</v>
      </c>
      <c r="S101">
        <v>100</v>
      </c>
      <c r="T101">
        <v>71.7</v>
      </c>
      <c r="U101">
        <v>130.4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SKUS </vt:lpstr>
      <vt:lpstr>DATA </vt:lpstr>
      <vt:lpstr>'DATA '!SKU_PARAMS1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Caicedo Correa</dc:creator>
  <cp:lastModifiedBy>Maria Jose Caicedo Correa</cp:lastModifiedBy>
  <dcterms:created xsi:type="dcterms:W3CDTF">2026-03-14T19:45:21Z</dcterms:created>
  <dcterms:modified xsi:type="dcterms:W3CDTF">2026-03-29T22:34:09Z</dcterms:modified>
</cp:coreProperties>
</file>